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hill\Documents\MS-Thesis\"/>
    </mc:Choice>
  </mc:AlternateContent>
  <xr:revisionPtr revIDLastSave="0" documentId="13_ncr:1_{6218A15C-5B8A-4BAA-892F-7312E1CC6BAD}" xr6:coauthVersionLast="47" xr6:coauthVersionMax="47" xr10:uidLastSave="{00000000-0000-0000-0000-000000000000}"/>
  <bookViews>
    <workbookView xWindow="-96" yWindow="-96" windowWidth="23232" windowHeight="12432" firstSheet="2" activeTab="7" xr2:uid="{F1C71178-19A8-4726-96EB-5642A0E768D2}"/>
  </bookViews>
  <sheets>
    <sheet name="Case 1 Pareto" sheetId="1" r:id="rId1"/>
    <sheet name="Case 2 Pareto" sheetId="3" r:id="rId2"/>
    <sheet name="Case 3 Pareto" sheetId="4" r:id="rId3"/>
    <sheet name="Case 4 Pareto" sheetId="5" r:id="rId4"/>
    <sheet name="Case 5 Pareto" sheetId="6" r:id="rId5"/>
    <sheet name="Case 6 Pareto" sheetId="7" r:id="rId6"/>
    <sheet name="Case 7 Pareto" sheetId="8" r:id="rId7"/>
    <sheet name="Case 8 Paret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/>
  <c r="L4" i="6"/>
  <c r="K4" i="6"/>
  <c r="J4" i="6"/>
  <c r="I4" i="6"/>
  <c r="H4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B112" i="6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L4" i="4"/>
  <c r="K4" i="4"/>
  <c r="J4" i="4"/>
  <c r="I4" i="4"/>
  <c r="H4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O4" i="1"/>
  <c r="N4" i="1"/>
  <c r="M4" i="1"/>
  <c r="L4" i="1"/>
  <c r="K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B118" i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L4" i="9"/>
  <c r="L4" i="8"/>
  <c r="L4" i="5"/>
  <c r="L4" i="3"/>
  <c r="B4" i="9"/>
  <c r="B5" i="9" s="1"/>
  <c r="B6" i="9" s="1"/>
  <c r="B5" i="8"/>
  <c r="B4" i="8"/>
  <c r="F4" i="8" s="1"/>
  <c r="F142" i="7"/>
  <c r="F143" i="7"/>
  <c r="F144" i="7"/>
  <c r="F145" i="7"/>
  <c r="F146" i="7"/>
  <c r="F147" i="7"/>
  <c r="F148" i="7"/>
  <c r="F149" i="7"/>
  <c r="F150" i="7"/>
  <c r="F151" i="7"/>
  <c r="F152" i="7"/>
  <c r="F153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B142" i="7"/>
  <c r="B143" i="7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4" i="7"/>
  <c r="B5" i="7" s="1"/>
  <c r="B4" i="6"/>
  <c r="B5" i="6" s="1"/>
  <c r="B4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B124" i="4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5" i="4"/>
  <c r="E4" i="4"/>
  <c r="B4" i="4"/>
  <c r="F4" i="4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5" i="3"/>
  <c r="B4" i="3"/>
  <c r="F4" i="1"/>
  <c r="B4" i="1"/>
  <c r="E4" i="1" s="1"/>
  <c r="B7" i="9" l="1"/>
  <c r="F6" i="9"/>
  <c r="E6" i="9"/>
  <c r="E4" i="9"/>
  <c r="F4" i="9"/>
  <c r="F5" i="9"/>
  <c r="E5" i="9"/>
  <c r="F5" i="8"/>
  <c r="E5" i="8"/>
  <c r="E4" i="8"/>
  <c r="B6" i="8"/>
  <c r="F5" i="7"/>
  <c r="E5" i="7"/>
  <c r="B6" i="7"/>
  <c r="E4" i="7"/>
  <c r="F4" i="7"/>
  <c r="F5" i="6"/>
  <c r="E5" i="6"/>
  <c r="E4" i="6"/>
  <c r="F4" i="6"/>
  <c r="B6" i="6"/>
  <c r="F4" i="5"/>
  <c r="B5" i="5"/>
  <c r="E4" i="5"/>
  <c r="F4" i="3"/>
  <c r="E4" i="3"/>
  <c r="B5" i="1"/>
  <c r="I4" i="3" l="1"/>
  <c r="H4" i="3"/>
  <c r="K4" i="3"/>
  <c r="J4" i="3"/>
  <c r="B8" i="9"/>
  <c r="F7" i="9"/>
  <c r="E7" i="9"/>
  <c r="B7" i="8"/>
  <c r="E6" i="8"/>
  <c r="F6" i="8"/>
  <c r="B7" i="7"/>
  <c r="F6" i="7"/>
  <c r="E6" i="7"/>
  <c r="E6" i="6"/>
  <c r="B7" i="6"/>
  <c r="F6" i="6"/>
  <c r="F5" i="5"/>
  <c r="E5" i="5"/>
  <c r="B6" i="5"/>
  <c r="B6" i="1"/>
  <c r="F8" i="9" l="1"/>
  <c r="E8" i="9"/>
  <c r="B9" i="9"/>
  <c r="E7" i="8"/>
  <c r="B8" i="8"/>
  <c r="F7" i="8"/>
  <c r="E7" i="7"/>
  <c r="B8" i="7"/>
  <c r="F7" i="7"/>
  <c r="E7" i="6"/>
  <c r="F7" i="6"/>
  <c r="B8" i="6"/>
  <c r="B7" i="5"/>
  <c r="F6" i="5"/>
  <c r="E6" i="5"/>
  <c r="B7" i="1"/>
  <c r="F9" i="9" l="1"/>
  <c r="B10" i="9"/>
  <c r="E9" i="9"/>
  <c r="F8" i="8"/>
  <c r="E8" i="8"/>
  <c r="B9" i="8"/>
  <c r="B9" i="7"/>
  <c r="F8" i="7"/>
  <c r="E8" i="7"/>
  <c r="F8" i="6"/>
  <c r="E8" i="6"/>
  <c r="B9" i="6"/>
  <c r="B8" i="5"/>
  <c r="F7" i="5"/>
  <c r="E7" i="5"/>
  <c r="B8" i="1"/>
  <c r="B11" i="9" l="1"/>
  <c r="F10" i="9"/>
  <c r="E10" i="9"/>
  <c r="E9" i="8"/>
  <c r="B10" i="8"/>
  <c r="F9" i="8"/>
  <c r="B10" i="7"/>
  <c r="F9" i="7"/>
  <c r="E9" i="7"/>
  <c r="F9" i="6"/>
  <c r="B10" i="6"/>
  <c r="E9" i="6"/>
  <c r="E8" i="5"/>
  <c r="F8" i="5"/>
  <c r="B9" i="5"/>
  <c r="B9" i="1"/>
  <c r="E11" i="9" l="1"/>
  <c r="B12" i="9"/>
  <c r="F11" i="9"/>
  <c r="F10" i="8"/>
  <c r="E10" i="8"/>
  <c r="B11" i="8"/>
  <c r="E10" i="7"/>
  <c r="F10" i="7"/>
  <c r="B11" i="7"/>
  <c r="B11" i="6"/>
  <c r="F10" i="6"/>
  <c r="E10" i="6"/>
  <c r="F9" i="5"/>
  <c r="B10" i="5"/>
  <c r="E9" i="5"/>
  <c r="B10" i="1"/>
  <c r="B13" i="9" l="1"/>
  <c r="F12" i="9"/>
  <c r="E12" i="9"/>
  <c r="B12" i="8"/>
  <c r="F11" i="8"/>
  <c r="E11" i="8"/>
  <c r="B12" i="7"/>
  <c r="F11" i="7"/>
  <c r="E11" i="7"/>
  <c r="B12" i="6"/>
  <c r="F11" i="6"/>
  <c r="E11" i="6"/>
  <c r="F10" i="5"/>
  <c r="B11" i="5"/>
  <c r="E10" i="5"/>
  <c r="B11" i="1"/>
  <c r="F13" i="9" l="1"/>
  <c r="E13" i="9"/>
  <c r="B14" i="9"/>
  <c r="B13" i="8"/>
  <c r="F12" i="8"/>
  <c r="E12" i="8"/>
  <c r="B13" i="7"/>
  <c r="F12" i="7"/>
  <c r="E12" i="7"/>
  <c r="B13" i="6"/>
  <c r="F12" i="6"/>
  <c r="E12" i="6"/>
  <c r="B12" i="5"/>
  <c r="F11" i="5"/>
  <c r="E11" i="5"/>
  <c r="B12" i="1"/>
  <c r="B15" i="9" l="1"/>
  <c r="F14" i="9"/>
  <c r="E14" i="9"/>
  <c r="F13" i="8"/>
  <c r="E13" i="8"/>
  <c r="B14" i="8"/>
  <c r="F13" i="7"/>
  <c r="E13" i="7"/>
  <c r="B14" i="7"/>
  <c r="F13" i="6"/>
  <c r="E13" i="6"/>
  <c r="B14" i="6"/>
  <c r="F12" i="5"/>
  <c r="B13" i="5"/>
  <c r="E12" i="5"/>
  <c r="B13" i="1"/>
  <c r="E15" i="9" l="1"/>
  <c r="B16" i="9"/>
  <c r="F15" i="9"/>
  <c r="B15" i="8"/>
  <c r="F14" i="8"/>
  <c r="E14" i="8"/>
  <c r="B15" i="7"/>
  <c r="F14" i="7"/>
  <c r="E14" i="7"/>
  <c r="F14" i="6"/>
  <c r="B15" i="6"/>
  <c r="E14" i="6"/>
  <c r="F13" i="5"/>
  <c r="E13" i="5"/>
  <c r="B14" i="5"/>
  <c r="B14" i="1"/>
  <c r="F16" i="9" l="1"/>
  <c r="E16" i="9"/>
  <c r="B17" i="9"/>
  <c r="B16" i="8"/>
  <c r="F15" i="8"/>
  <c r="E15" i="8"/>
  <c r="E15" i="7"/>
  <c r="B16" i="7"/>
  <c r="F15" i="7"/>
  <c r="F15" i="6"/>
  <c r="B16" i="6"/>
  <c r="E15" i="6"/>
  <c r="B15" i="5"/>
  <c r="F14" i="5"/>
  <c r="E14" i="5"/>
  <c r="B15" i="1"/>
  <c r="E17" i="9" l="1"/>
  <c r="B18" i="9"/>
  <c r="F17" i="9"/>
  <c r="F16" i="8"/>
  <c r="E16" i="8"/>
  <c r="B17" i="8"/>
  <c r="B17" i="7"/>
  <c r="F16" i="7"/>
  <c r="E16" i="7"/>
  <c r="B17" i="6"/>
  <c r="F16" i="6"/>
  <c r="E16" i="6"/>
  <c r="F15" i="5"/>
  <c r="E15" i="5"/>
  <c r="B16" i="5"/>
  <c r="B16" i="1"/>
  <c r="B19" i="9" l="1"/>
  <c r="F18" i="9"/>
  <c r="E18" i="9"/>
  <c r="B18" i="8"/>
  <c r="F17" i="8"/>
  <c r="E17" i="8"/>
  <c r="B18" i="7"/>
  <c r="F17" i="7"/>
  <c r="E17" i="7"/>
  <c r="F17" i="6"/>
  <c r="B18" i="6"/>
  <c r="E17" i="6"/>
  <c r="F16" i="5"/>
  <c r="E16" i="5"/>
  <c r="B17" i="5"/>
  <c r="B17" i="1"/>
  <c r="B20" i="9" l="1"/>
  <c r="F19" i="9"/>
  <c r="E19" i="9"/>
  <c r="B19" i="8"/>
  <c r="F18" i="8"/>
  <c r="E18" i="8"/>
  <c r="F18" i="7"/>
  <c r="E18" i="7"/>
  <c r="B19" i="7"/>
  <c r="B19" i="6"/>
  <c r="F18" i="6"/>
  <c r="E18" i="6"/>
  <c r="F17" i="5"/>
  <c r="B18" i="5"/>
  <c r="E17" i="5"/>
  <c r="B18" i="1"/>
  <c r="B21" i="9" l="1"/>
  <c r="F20" i="9"/>
  <c r="E20" i="9"/>
  <c r="E19" i="8"/>
  <c r="B20" i="8"/>
  <c r="F19" i="8"/>
  <c r="B20" i="7"/>
  <c r="F19" i="7"/>
  <c r="E19" i="7"/>
  <c r="B20" i="6"/>
  <c r="F19" i="6"/>
  <c r="E19" i="6"/>
  <c r="B19" i="5"/>
  <c r="F18" i="5"/>
  <c r="E18" i="5"/>
  <c r="B19" i="1"/>
  <c r="F21" i="9" l="1"/>
  <c r="E21" i="9"/>
  <c r="B22" i="9"/>
  <c r="E20" i="8"/>
  <c r="B21" i="8"/>
  <c r="F20" i="8"/>
  <c r="B21" i="7"/>
  <c r="F20" i="7"/>
  <c r="E20" i="7"/>
  <c r="B21" i="6"/>
  <c r="F20" i="6"/>
  <c r="E20" i="6"/>
  <c r="F19" i="5"/>
  <c r="B20" i="5"/>
  <c r="E19" i="5"/>
  <c r="B20" i="1"/>
  <c r="B23" i="9" l="1"/>
  <c r="F22" i="9"/>
  <c r="E22" i="9"/>
  <c r="B22" i="8"/>
  <c r="F21" i="8"/>
  <c r="E21" i="8"/>
  <c r="F21" i="7"/>
  <c r="E21" i="7"/>
  <c r="B22" i="7"/>
  <c r="F21" i="6"/>
  <c r="E21" i="6"/>
  <c r="B22" i="6"/>
  <c r="F20" i="5"/>
  <c r="B21" i="5"/>
  <c r="E20" i="5"/>
  <c r="B21" i="1"/>
  <c r="B24" i="9" l="1"/>
  <c r="F23" i="9"/>
  <c r="E23" i="9"/>
  <c r="B23" i="8"/>
  <c r="E22" i="8"/>
  <c r="F22" i="8"/>
  <c r="B23" i="7"/>
  <c r="E22" i="7"/>
  <c r="F22" i="7"/>
  <c r="B23" i="6"/>
  <c r="F22" i="6"/>
  <c r="E22" i="6"/>
  <c r="F21" i="5"/>
  <c r="E21" i="5"/>
  <c r="B22" i="5"/>
  <c r="B22" i="1"/>
  <c r="F24" i="9" l="1"/>
  <c r="E24" i="9"/>
  <c r="B25" i="9"/>
  <c r="B24" i="8"/>
  <c r="F23" i="8"/>
  <c r="E23" i="8"/>
  <c r="B24" i="7"/>
  <c r="F23" i="7"/>
  <c r="E23" i="7"/>
  <c r="B24" i="6"/>
  <c r="F23" i="6"/>
  <c r="E23" i="6"/>
  <c r="F22" i="5"/>
  <c r="B23" i="5"/>
  <c r="E22" i="5"/>
  <c r="B23" i="1"/>
  <c r="E25" i="9" l="1"/>
  <c r="F25" i="9"/>
  <c r="B26" i="9"/>
  <c r="F24" i="8"/>
  <c r="E24" i="8"/>
  <c r="B25" i="8"/>
  <c r="F24" i="7"/>
  <c r="B25" i="7"/>
  <c r="E24" i="7"/>
  <c r="B25" i="6"/>
  <c r="F24" i="6"/>
  <c r="E24" i="6"/>
  <c r="B24" i="5"/>
  <c r="F23" i="5"/>
  <c r="E23" i="5"/>
  <c r="B24" i="1"/>
  <c r="F26" i="9" l="1"/>
  <c r="E26" i="9"/>
  <c r="B27" i="9"/>
  <c r="E25" i="8"/>
  <c r="B26" i="8"/>
  <c r="F25" i="8"/>
  <c r="B26" i="7"/>
  <c r="F25" i="7"/>
  <c r="E25" i="7"/>
  <c r="F25" i="6"/>
  <c r="E25" i="6"/>
  <c r="B26" i="6"/>
  <c r="F24" i="5"/>
  <c r="B25" i="5"/>
  <c r="E24" i="5"/>
  <c r="B25" i="1"/>
  <c r="B28" i="9" l="1"/>
  <c r="F27" i="9"/>
  <c r="E27" i="9"/>
  <c r="B27" i="8"/>
  <c r="F26" i="8"/>
  <c r="E26" i="8"/>
  <c r="F26" i="7"/>
  <c r="B27" i="7"/>
  <c r="E26" i="7"/>
  <c r="B27" i="6"/>
  <c r="F26" i="6"/>
  <c r="E26" i="6"/>
  <c r="F25" i="5"/>
  <c r="B26" i="5"/>
  <c r="E25" i="5"/>
  <c r="B26" i="1"/>
  <c r="B29" i="9" l="1"/>
  <c r="F28" i="9"/>
  <c r="E28" i="9"/>
  <c r="B28" i="8"/>
  <c r="F27" i="8"/>
  <c r="E27" i="8"/>
  <c r="B28" i="7"/>
  <c r="F27" i="7"/>
  <c r="E27" i="7"/>
  <c r="B28" i="6"/>
  <c r="F27" i="6"/>
  <c r="E27" i="6"/>
  <c r="B27" i="5"/>
  <c r="F26" i="5"/>
  <c r="E26" i="5"/>
  <c r="B27" i="1"/>
  <c r="F29" i="9" l="1"/>
  <c r="E29" i="9"/>
  <c r="B30" i="9"/>
  <c r="E28" i="8"/>
  <c r="F28" i="8"/>
  <c r="B29" i="8"/>
  <c r="B29" i="7"/>
  <c r="F28" i="7"/>
  <c r="E28" i="7"/>
  <c r="B29" i="6"/>
  <c r="F28" i="6"/>
  <c r="E28" i="6"/>
  <c r="B28" i="5"/>
  <c r="F27" i="5"/>
  <c r="E27" i="5"/>
  <c r="B28" i="1"/>
  <c r="F30" i="9" l="1"/>
  <c r="B31" i="9"/>
  <c r="E30" i="9"/>
  <c r="B30" i="8"/>
  <c r="F29" i="8"/>
  <c r="E29" i="8"/>
  <c r="F29" i="7"/>
  <c r="E29" i="7"/>
  <c r="B30" i="7"/>
  <c r="F29" i="6"/>
  <c r="E29" i="6"/>
  <c r="B30" i="6"/>
  <c r="F28" i="5"/>
  <c r="B29" i="5"/>
  <c r="E28" i="5"/>
  <c r="B29" i="1"/>
  <c r="B32" i="9" l="1"/>
  <c r="F31" i="9"/>
  <c r="E31" i="9"/>
  <c r="B31" i="8"/>
  <c r="F30" i="8"/>
  <c r="E30" i="8"/>
  <c r="F30" i="7"/>
  <c r="B31" i="7"/>
  <c r="E30" i="7"/>
  <c r="E30" i="6"/>
  <c r="F30" i="6"/>
  <c r="B31" i="6"/>
  <c r="F29" i="5"/>
  <c r="E29" i="5"/>
  <c r="B30" i="5"/>
  <c r="B30" i="1"/>
  <c r="F32" i="9" l="1"/>
  <c r="E32" i="9"/>
  <c r="B33" i="9"/>
  <c r="B32" i="8"/>
  <c r="F31" i="8"/>
  <c r="E31" i="8"/>
  <c r="E31" i="7"/>
  <c r="B32" i="7"/>
  <c r="F31" i="7"/>
  <c r="E31" i="6"/>
  <c r="B32" i="6"/>
  <c r="F31" i="6"/>
  <c r="B31" i="5"/>
  <c r="E30" i="5"/>
  <c r="F30" i="5"/>
  <c r="B31" i="1"/>
  <c r="B34" i="9" l="1"/>
  <c r="F33" i="9"/>
  <c r="E33" i="9"/>
  <c r="F32" i="8"/>
  <c r="E32" i="8"/>
  <c r="B33" i="8"/>
  <c r="B33" i="7"/>
  <c r="F32" i="7"/>
  <c r="E32" i="7"/>
  <c r="B33" i="6"/>
  <c r="F32" i="6"/>
  <c r="E32" i="6"/>
  <c r="B32" i="5"/>
  <c r="F31" i="5"/>
  <c r="E31" i="5"/>
  <c r="B32" i="1"/>
  <c r="B35" i="9" l="1"/>
  <c r="F34" i="9"/>
  <c r="E34" i="9"/>
  <c r="B34" i="8"/>
  <c r="F33" i="8"/>
  <c r="E33" i="8"/>
  <c r="B34" i="7"/>
  <c r="F33" i="7"/>
  <c r="E33" i="7"/>
  <c r="F33" i="6"/>
  <c r="B34" i="6"/>
  <c r="E33" i="6"/>
  <c r="B33" i="5"/>
  <c r="F32" i="5"/>
  <c r="E32" i="5"/>
  <c r="B33" i="1"/>
  <c r="F35" i="9" l="1"/>
  <c r="B36" i="9"/>
  <c r="E35" i="9"/>
  <c r="E34" i="8"/>
  <c r="F34" i="8"/>
  <c r="B35" i="8"/>
  <c r="E34" i="7"/>
  <c r="B35" i="7"/>
  <c r="F34" i="7"/>
  <c r="B35" i="6"/>
  <c r="F34" i="6"/>
  <c r="E34" i="6"/>
  <c r="F33" i="5"/>
  <c r="B34" i="5"/>
  <c r="E33" i="5"/>
  <c r="B34" i="1"/>
  <c r="B37" i="9" l="1"/>
  <c r="F36" i="9"/>
  <c r="E36" i="9"/>
  <c r="E35" i="8"/>
  <c r="B36" i="8"/>
  <c r="F35" i="8"/>
  <c r="B36" i="7"/>
  <c r="F35" i="7"/>
  <c r="E35" i="7"/>
  <c r="B36" i="6"/>
  <c r="F35" i="6"/>
  <c r="E35" i="6"/>
  <c r="E34" i="5"/>
  <c r="B35" i="5"/>
  <c r="F34" i="5"/>
  <c r="B35" i="1"/>
  <c r="F37" i="9" l="1"/>
  <c r="E37" i="9"/>
  <c r="B38" i="9"/>
  <c r="F36" i="8"/>
  <c r="B37" i="8"/>
  <c r="E36" i="8"/>
  <c r="B37" i="7"/>
  <c r="E36" i="7"/>
  <c r="F36" i="7"/>
  <c r="E36" i="6"/>
  <c r="B37" i="6"/>
  <c r="F36" i="6"/>
  <c r="B36" i="5"/>
  <c r="F35" i="5"/>
  <c r="E35" i="5"/>
  <c r="B36" i="1"/>
  <c r="B39" i="9" l="1"/>
  <c r="F38" i="9"/>
  <c r="E38" i="9"/>
  <c r="B38" i="8"/>
  <c r="F37" i="8"/>
  <c r="E37" i="8"/>
  <c r="F37" i="7"/>
  <c r="E37" i="7"/>
  <c r="B38" i="7"/>
  <c r="F37" i="6"/>
  <c r="E37" i="6"/>
  <c r="B38" i="6"/>
  <c r="F36" i="5"/>
  <c r="B37" i="5"/>
  <c r="E36" i="5"/>
  <c r="B37" i="1"/>
  <c r="B40" i="9" l="1"/>
  <c r="F39" i="9"/>
  <c r="E39" i="9"/>
  <c r="B39" i="8"/>
  <c r="E38" i="8"/>
  <c r="F38" i="8"/>
  <c r="F38" i="7"/>
  <c r="B39" i="7"/>
  <c r="E38" i="7"/>
  <c r="F38" i="6"/>
  <c r="B39" i="6"/>
  <c r="E38" i="6"/>
  <c r="F37" i="5"/>
  <c r="E37" i="5"/>
  <c r="B38" i="5"/>
  <c r="B38" i="1"/>
  <c r="F40" i="9" l="1"/>
  <c r="E40" i="9"/>
  <c r="B41" i="9"/>
  <c r="B40" i="8"/>
  <c r="F39" i="8"/>
  <c r="E39" i="8"/>
  <c r="E39" i="7"/>
  <c r="B40" i="7"/>
  <c r="F39" i="7"/>
  <c r="F39" i="6"/>
  <c r="B40" i="6"/>
  <c r="E39" i="6"/>
  <c r="E38" i="5"/>
  <c r="B39" i="5"/>
  <c r="F38" i="5"/>
  <c r="B39" i="1"/>
  <c r="B42" i="9" l="1"/>
  <c r="F41" i="9"/>
  <c r="E41" i="9"/>
  <c r="F40" i="8"/>
  <c r="E40" i="8"/>
  <c r="B41" i="8"/>
  <c r="B41" i="7"/>
  <c r="F40" i="7"/>
  <c r="E40" i="7"/>
  <c r="B41" i="6"/>
  <c r="F40" i="6"/>
  <c r="E40" i="6"/>
  <c r="B40" i="5"/>
  <c r="F39" i="5"/>
  <c r="E39" i="5"/>
  <c r="B40" i="1"/>
  <c r="B43" i="9" l="1"/>
  <c r="E42" i="9"/>
  <c r="F42" i="9"/>
  <c r="E41" i="8"/>
  <c r="B42" i="8"/>
  <c r="F41" i="8"/>
  <c r="B42" i="7"/>
  <c r="F41" i="7"/>
  <c r="E41" i="7"/>
  <c r="F41" i="6"/>
  <c r="B42" i="6"/>
  <c r="E41" i="6"/>
  <c r="E40" i="5"/>
  <c r="B41" i="5"/>
  <c r="F40" i="5"/>
  <c r="B41" i="1"/>
  <c r="B44" i="9" l="1"/>
  <c r="E43" i="9"/>
  <c r="F43" i="9"/>
  <c r="B43" i="8"/>
  <c r="E42" i="8"/>
  <c r="F42" i="8"/>
  <c r="F42" i="7"/>
  <c r="E42" i="7"/>
  <c r="B43" i="7"/>
  <c r="F42" i="6"/>
  <c r="E42" i="6"/>
  <c r="B43" i="6"/>
  <c r="F41" i="5"/>
  <c r="E41" i="5"/>
  <c r="B42" i="5"/>
  <c r="B42" i="1"/>
  <c r="B45" i="9" l="1"/>
  <c r="F44" i="9"/>
  <c r="E44" i="9"/>
  <c r="B44" i="8"/>
  <c r="F43" i="8"/>
  <c r="E43" i="8"/>
  <c r="B44" i="7"/>
  <c r="F43" i="7"/>
  <c r="E43" i="7"/>
  <c r="B44" i="6"/>
  <c r="F43" i="6"/>
  <c r="E43" i="6"/>
  <c r="E42" i="5"/>
  <c r="F42" i="5"/>
  <c r="B43" i="5"/>
  <c r="B43" i="1"/>
  <c r="F45" i="9" l="1"/>
  <c r="E45" i="9"/>
  <c r="B46" i="9"/>
  <c r="B45" i="8"/>
  <c r="F44" i="8"/>
  <c r="E44" i="8"/>
  <c r="B45" i="7"/>
  <c r="F44" i="7"/>
  <c r="E44" i="7"/>
  <c r="B45" i="6"/>
  <c r="F44" i="6"/>
  <c r="E44" i="6"/>
  <c r="B44" i="5"/>
  <c r="E43" i="5"/>
  <c r="F43" i="5"/>
  <c r="B44" i="1"/>
  <c r="B47" i="9" l="1"/>
  <c r="F46" i="9"/>
  <c r="E46" i="9"/>
  <c r="B46" i="8"/>
  <c r="F45" i="8"/>
  <c r="E45" i="8"/>
  <c r="F45" i="7"/>
  <c r="E45" i="7"/>
  <c r="B46" i="7"/>
  <c r="F45" i="6"/>
  <c r="E45" i="6"/>
  <c r="B46" i="6"/>
  <c r="F44" i="5"/>
  <c r="B45" i="5"/>
  <c r="E44" i="5"/>
  <c r="B45" i="1"/>
  <c r="B48" i="9" l="1"/>
  <c r="F47" i="9"/>
  <c r="E47" i="9"/>
  <c r="B47" i="8"/>
  <c r="F46" i="8"/>
  <c r="E46" i="8"/>
  <c r="B47" i="7"/>
  <c r="F46" i="7"/>
  <c r="E46" i="7"/>
  <c r="B47" i="6"/>
  <c r="F46" i="6"/>
  <c r="E46" i="6"/>
  <c r="F45" i="5"/>
  <c r="E45" i="5"/>
  <c r="B46" i="5"/>
  <c r="B46" i="1"/>
  <c r="F48" i="9" l="1"/>
  <c r="E48" i="9"/>
  <c r="B49" i="9"/>
  <c r="B48" i="8"/>
  <c r="F47" i="8"/>
  <c r="E47" i="8"/>
  <c r="E47" i="7"/>
  <c r="B48" i="7"/>
  <c r="F47" i="7"/>
  <c r="B48" i="6"/>
  <c r="F47" i="6"/>
  <c r="E47" i="6"/>
  <c r="B47" i="5"/>
  <c r="F46" i="5"/>
  <c r="E46" i="5"/>
  <c r="B47" i="1"/>
  <c r="B50" i="9" l="1"/>
  <c r="F49" i="9"/>
  <c r="E49" i="9"/>
  <c r="F48" i="8"/>
  <c r="E48" i="8"/>
  <c r="B49" i="8"/>
  <c r="F48" i="7"/>
  <c r="B49" i="7"/>
  <c r="E48" i="7"/>
  <c r="F48" i="6"/>
  <c r="B49" i="6"/>
  <c r="E48" i="6"/>
  <c r="E47" i="5"/>
  <c r="F47" i="5"/>
  <c r="B48" i="5"/>
  <c r="B48" i="1"/>
  <c r="B51" i="9" l="1"/>
  <c r="F50" i="9"/>
  <c r="E50" i="9"/>
  <c r="F49" i="8"/>
  <c r="E49" i="8"/>
  <c r="B50" i="8"/>
  <c r="B50" i="7"/>
  <c r="F49" i="7"/>
  <c r="E49" i="7"/>
  <c r="F49" i="6"/>
  <c r="B50" i="6"/>
  <c r="E49" i="6"/>
  <c r="F48" i="5"/>
  <c r="E48" i="5"/>
  <c r="B49" i="5"/>
  <c r="B49" i="1"/>
  <c r="E51" i="9" l="1"/>
  <c r="F51" i="9"/>
  <c r="F50" i="8"/>
  <c r="B51" i="8"/>
  <c r="E50" i="8"/>
  <c r="E50" i="7"/>
  <c r="B51" i="7"/>
  <c r="F50" i="7"/>
  <c r="B51" i="6"/>
  <c r="F50" i="6"/>
  <c r="E50" i="6"/>
  <c r="F49" i="5"/>
  <c r="B50" i="5"/>
  <c r="E49" i="5"/>
  <c r="B50" i="1"/>
  <c r="E51" i="8" l="1"/>
  <c r="B52" i="8"/>
  <c r="F51" i="8"/>
  <c r="B52" i="7"/>
  <c r="F51" i="7"/>
  <c r="E51" i="7"/>
  <c r="B52" i="6"/>
  <c r="F51" i="6"/>
  <c r="E51" i="6"/>
  <c r="B51" i="5"/>
  <c r="F50" i="5"/>
  <c r="E50" i="5"/>
  <c r="B51" i="1"/>
  <c r="E52" i="8" l="1"/>
  <c r="F52" i="8"/>
  <c r="B53" i="8"/>
  <c r="B53" i="7"/>
  <c r="F52" i="7"/>
  <c r="E52" i="7"/>
  <c r="F52" i="6"/>
  <c r="B53" i="6"/>
  <c r="E52" i="6"/>
  <c r="B52" i="5"/>
  <c r="F51" i="5"/>
  <c r="E51" i="5"/>
  <c r="B52" i="1"/>
  <c r="B54" i="8" l="1"/>
  <c r="F53" i="8"/>
  <c r="E53" i="8"/>
  <c r="F53" i="7"/>
  <c r="E53" i="7"/>
  <c r="B54" i="7"/>
  <c r="F53" i="6"/>
  <c r="E53" i="6"/>
  <c r="B54" i="6"/>
  <c r="F52" i="5"/>
  <c r="B53" i="5"/>
  <c r="E52" i="5"/>
  <c r="B53" i="1"/>
  <c r="B55" i="8" l="1"/>
  <c r="F54" i="8"/>
  <c r="E54" i="8"/>
  <c r="B55" i="7"/>
  <c r="F54" i="7"/>
  <c r="E54" i="7"/>
  <c r="E54" i="6"/>
  <c r="F54" i="6"/>
  <c r="B55" i="6"/>
  <c r="F53" i="5"/>
  <c r="E53" i="5"/>
  <c r="B54" i="5"/>
  <c r="B54" i="1"/>
  <c r="B56" i="8" l="1"/>
  <c r="F55" i="8"/>
  <c r="E55" i="8"/>
  <c r="E55" i="7"/>
  <c r="B56" i="7"/>
  <c r="F55" i="7"/>
  <c r="E55" i="6"/>
  <c r="B56" i="6"/>
  <c r="F55" i="6"/>
  <c r="F54" i="5"/>
  <c r="E54" i="5"/>
  <c r="B55" i="5"/>
  <c r="B55" i="1"/>
  <c r="F56" i="8" l="1"/>
  <c r="E56" i="8"/>
  <c r="B57" i="8"/>
  <c r="B57" i="7"/>
  <c r="F56" i="7"/>
  <c r="E56" i="7"/>
  <c r="F56" i="6"/>
  <c r="B57" i="6"/>
  <c r="E56" i="6"/>
  <c r="E55" i="5"/>
  <c r="B56" i="5"/>
  <c r="F55" i="5"/>
  <c r="B56" i="1"/>
  <c r="F57" i="8" l="1"/>
  <c r="B58" i="8"/>
  <c r="E57" i="8"/>
  <c r="B58" i="7"/>
  <c r="F57" i="7"/>
  <c r="E57" i="7"/>
  <c r="F57" i="6"/>
  <c r="B58" i="6"/>
  <c r="E57" i="6"/>
  <c r="B57" i="5"/>
  <c r="F56" i="5"/>
  <c r="E56" i="5"/>
  <c r="B57" i="1"/>
  <c r="B59" i="8" l="1"/>
  <c r="F58" i="8"/>
  <c r="E58" i="8"/>
  <c r="F58" i="7"/>
  <c r="E58" i="7"/>
  <c r="B59" i="7"/>
  <c r="B59" i="6"/>
  <c r="F58" i="6"/>
  <c r="E58" i="6"/>
  <c r="F57" i="5"/>
  <c r="B58" i="5"/>
  <c r="E57" i="5"/>
  <c r="B58" i="1"/>
  <c r="B60" i="8" l="1"/>
  <c r="F59" i="8"/>
  <c r="E59" i="8"/>
  <c r="B60" i="7"/>
  <c r="F59" i="7"/>
  <c r="E59" i="7"/>
  <c r="B60" i="6"/>
  <c r="F59" i="6"/>
  <c r="E59" i="6"/>
  <c r="E58" i="5"/>
  <c r="B59" i="5"/>
  <c r="F58" i="5"/>
  <c r="B59" i="1"/>
  <c r="B61" i="8" l="1"/>
  <c r="F60" i="8"/>
  <c r="E60" i="8"/>
  <c r="B61" i="7"/>
  <c r="F60" i="7"/>
  <c r="E60" i="7"/>
  <c r="B61" i="6"/>
  <c r="F60" i="6"/>
  <c r="E60" i="6"/>
  <c r="F59" i="5"/>
  <c r="E59" i="5"/>
  <c r="B60" i="5"/>
  <c r="B60" i="1"/>
  <c r="B62" i="8" l="1"/>
  <c r="F61" i="8"/>
  <c r="E61" i="8"/>
  <c r="F61" i="7"/>
  <c r="E61" i="7"/>
  <c r="B62" i="7"/>
  <c r="F61" i="6"/>
  <c r="E61" i="6"/>
  <c r="B62" i="6"/>
  <c r="F60" i="5"/>
  <c r="B61" i="5"/>
  <c r="E60" i="5"/>
  <c r="B61" i="1"/>
  <c r="B63" i="8" l="1"/>
  <c r="F62" i="8"/>
  <c r="E62" i="8"/>
  <c r="F62" i="7"/>
  <c r="B63" i="7"/>
  <c r="E62" i="7"/>
  <c r="F62" i="6"/>
  <c r="B63" i="6"/>
  <c r="E62" i="6"/>
  <c r="F61" i="5"/>
  <c r="E61" i="5"/>
  <c r="B62" i="5"/>
  <c r="B62" i="1"/>
  <c r="B64" i="8" l="1"/>
  <c r="F63" i="8"/>
  <c r="E63" i="8"/>
  <c r="E63" i="7"/>
  <c r="B64" i="7"/>
  <c r="F63" i="7"/>
  <c r="F63" i="6"/>
  <c r="B64" i="6"/>
  <c r="E63" i="6"/>
  <c r="B63" i="5"/>
  <c r="F62" i="5"/>
  <c r="E62" i="5"/>
  <c r="B63" i="1"/>
  <c r="F64" i="8" l="1"/>
  <c r="E64" i="8"/>
  <c r="B65" i="8"/>
  <c r="B65" i="7"/>
  <c r="F64" i="7"/>
  <c r="E64" i="7"/>
  <c r="B65" i="6"/>
  <c r="F64" i="6"/>
  <c r="E64" i="6"/>
  <c r="E63" i="5"/>
  <c r="F63" i="5"/>
  <c r="B64" i="1"/>
  <c r="F65" i="8" l="1"/>
  <c r="E65" i="8"/>
  <c r="B66" i="8"/>
  <c r="B66" i="7"/>
  <c r="F65" i="7"/>
  <c r="E65" i="7"/>
  <c r="F65" i="6"/>
  <c r="B66" i="6"/>
  <c r="E65" i="6"/>
  <c r="B65" i="1"/>
  <c r="F66" i="8" l="1"/>
  <c r="B67" i="8"/>
  <c r="E66" i="8"/>
  <c r="E66" i="7"/>
  <c r="B67" i="7"/>
  <c r="F66" i="7"/>
  <c r="E66" i="6"/>
  <c r="F66" i="6"/>
  <c r="B67" i="6"/>
  <c r="B66" i="1"/>
  <c r="E67" i="8" l="1"/>
  <c r="B68" i="8"/>
  <c r="F67" i="8"/>
  <c r="B68" i="7"/>
  <c r="F67" i="7"/>
  <c r="E67" i="7"/>
  <c r="B68" i="6"/>
  <c r="F67" i="6"/>
  <c r="E67" i="6"/>
  <c r="B67" i="1"/>
  <c r="E68" i="8" l="1"/>
  <c r="B69" i="8"/>
  <c r="F68" i="8"/>
  <c r="B69" i="7"/>
  <c r="F68" i="7"/>
  <c r="E68" i="7"/>
  <c r="B69" i="6"/>
  <c r="F68" i="6"/>
  <c r="E68" i="6"/>
  <c r="B68" i="1"/>
  <c r="B70" i="8" l="1"/>
  <c r="F69" i="8"/>
  <c r="E69" i="8"/>
  <c r="F69" i="7"/>
  <c r="E69" i="7"/>
  <c r="B70" i="7"/>
  <c r="F69" i="6"/>
  <c r="E69" i="6"/>
  <c r="B70" i="6"/>
  <c r="B69" i="1"/>
  <c r="B71" i="8" l="1"/>
  <c r="F70" i="8"/>
  <c r="E70" i="8"/>
  <c r="F70" i="7"/>
  <c r="B71" i="7"/>
  <c r="E70" i="7"/>
  <c r="E70" i="6"/>
  <c r="B71" i="6"/>
  <c r="F70" i="6"/>
  <c r="B70" i="1"/>
  <c r="B72" i="8" l="1"/>
  <c r="F71" i="8"/>
  <c r="E71" i="8"/>
  <c r="E71" i="7"/>
  <c r="B72" i="7"/>
  <c r="F71" i="7"/>
  <c r="B72" i="6"/>
  <c r="F71" i="6"/>
  <c r="E71" i="6"/>
  <c r="B71" i="1"/>
  <c r="F72" i="8" l="1"/>
  <c r="E72" i="8"/>
  <c r="B73" i="8"/>
  <c r="B73" i="7"/>
  <c r="F72" i="7"/>
  <c r="E72" i="7"/>
  <c r="F72" i="6"/>
  <c r="B73" i="6"/>
  <c r="E72" i="6"/>
  <c r="B72" i="1"/>
  <c r="B74" i="8" l="1"/>
  <c r="F73" i="8"/>
  <c r="E73" i="8"/>
  <c r="B74" i="7"/>
  <c r="F73" i="7"/>
  <c r="E73" i="7"/>
  <c r="F73" i="6"/>
  <c r="E73" i="6"/>
  <c r="B74" i="6"/>
  <c r="B73" i="1"/>
  <c r="F74" i="8" l="1"/>
  <c r="E74" i="8"/>
  <c r="B75" i="8"/>
  <c r="E74" i="7"/>
  <c r="B75" i="7"/>
  <c r="F74" i="7"/>
  <c r="F74" i="6"/>
  <c r="B75" i="6"/>
  <c r="E74" i="6"/>
  <c r="B74" i="1"/>
  <c r="B76" i="8" l="1"/>
  <c r="F75" i="8"/>
  <c r="E75" i="8"/>
  <c r="B76" i="7"/>
  <c r="F75" i="7"/>
  <c r="E75" i="7"/>
  <c r="B76" i="6"/>
  <c r="F75" i="6"/>
  <c r="E75" i="6"/>
  <c r="B75" i="1"/>
  <c r="F76" i="8" l="1"/>
  <c r="B77" i="8"/>
  <c r="E76" i="8"/>
  <c r="B77" i="7"/>
  <c r="F76" i="7"/>
  <c r="E76" i="7"/>
  <c r="B77" i="6"/>
  <c r="F76" i="6"/>
  <c r="E76" i="6"/>
  <c r="B76" i="1"/>
  <c r="B78" i="8" l="1"/>
  <c r="F77" i="8"/>
  <c r="E77" i="8"/>
  <c r="F77" i="7"/>
  <c r="E77" i="7"/>
  <c r="B78" i="7"/>
  <c r="F77" i="6"/>
  <c r="E77" i="6"/>
  <c r="B78" i="6"/>
  <c r="B77" i="1"/>
  <c r="B79" i="8" l="1"/>
  <c r="F78" i="8"/>
  <c r="E78" i="8"/>
  <c r="B79" i="7"/>
  <c r="F78" i="7"/>
  <c r="E78" i="7"/>
  <c r="E78" i="6"/>
  <c r="F78" i="6"/>
  <c r="B79" i="6"/>
  <c r="B78" i="1"/>
  <c r="B80" i="8" l="1"/>
  <c r="F79" i="8"/>
  <c r="E79" i="8"/>
  <c r="E79" i="7"/>
  <c r="B80" i="7"/>
  <c r="F79" i="7"/>
  <c r="B80" i="6"/>
  <c r="F79" i="6"/>
  <c r="E79" i="6"/>
  <c r="B79" i="1"/>
  <c r="F80" i="8" l="1"/>
  <c r="E80" i="8"/>
  <c r="B81" i="8"/>
  <c r="B81" i="7"/>
  <c r="F80" i="7"/>
  <c r="E80" i="7"/>
  <c r="E80" i="6"/>
  <c r="B81" i="6"/>
  <c r="F80" i="6"/>
  <c r="B80" i="1"/>
  <c r="E81" i="8" l="1"/>
  <c r="B82" i="8"/>
  <c r="F81" i="8"/>
  <c r="B82" i="7"/>
  <c r="F81" i="7"/>
  <c r="E81" i="7"/>
  <c r="F81" i="6"/>
  <c r="B82" i="6"/>
  <c r="E81" i="6"/>
  <c r="B81" i="1"/>
  <c r="B83" i="8" l="1"/>
  <c r="F82" i="8"/>
  <c r="E82" i="8"/>
  <c r="E82" i="7"/>
  <c r="B83" i="7"/>
  <c r="F82" i="7"/>
  <c r="B83" i="6"/>
  <c r="F82" i="6"/>
  <c r="E82" i="6"/>
  <c r="B82" i="1"/>
  <c r="F83" i="8" l="1"/>
  <c r="E83" i="8"/>
  <c r="B84" i="8"/>
  <c r="B84" i="7"/>
  <c r="F83" i="7"/>
  <c r="E83" i="7"/>
  <c r="B84" i="6"/>
  <c r="F83" i="6"/>
  <c r="E83" i="6"/>
  <c r="B83" i="1"/>
  <c r="B85" i="8" l="1"/>
  <c r="F84" i="8"/>
  <c r="E84" i="8"/>
  <c r="B85" i="7"/>
  <c r="F84" i="7"/>
  <c r="E84" i="7"/>
  <c r="F84" i="6"/>
  <c r="B85" i="6"/>
  <c r="E84" i="6"/>
  <c r="B84" i="1"/>
  <c r="B86" i="8" l="1"/>
  <c r="F85" i="8"/>
  <c r="E85" i="8"/>
  <c r="F85" i="7"/>
  <c r="E85" i="7"/>
  <c r="B86" i="7"/>
  <c r="F85" i="6"/>
  <c r="E85" i="6"/>
  <c r="B86" i="6"/>
  <c r="B85" i="1"/>
  <c r="B87" i="8" l="1"/>
  <c r="F86" i="8"/>
  <c r="E86" i="8"/>
  <c r="B87" i="7"/>
  <c r="F86" i="7"/>
  <c r="E86" i="7"/>
  <c r="E86" i="6"/>
  <c r="F86" i="6"/>
  <c r="B87" i="6"/>
  <c r="B86" i="1"/>
  <c r="B88" i="8" l="1"/>
  <c r="F87" i="8"/>
  <c r="E87" i="8"/>
  <c r="E87" i="7"/>
  <c r="B88" i="7"/>
  <c r="F87" i="7"/>
  <c r="B88" i="6"/>
  <c r="F87" i="6"/>
  <c r="E87" i="6"/>
  <c r="B87" i="1"/>
  <c r="F88" i="8" l="1"/>
  <c r="E88" i="8"/>
  <c r="B89" i="8"/>
  <c r="F88" i="7"/>
  <c r="B89" i="7"/>
  <c r="E88" i="7"/>
  <c r="B89" i="6"/>
  <c r="F88" i="6"/>
  <c r="E88" i="6"/>
  <c r="B88" i="1"/>
  <c r="F89" i="8" l="1"/>
  <c r="E89" i="8"/>
  <c r="B90" i="8"/>
  <c r="B90" i="7"/>
  <c r="F89" i="7"/>
  <c r="E89" i="7"/>
  <c r="F89" i="6"/>
  <c r="B90" i="6"/>
  <c r="E89" i="6"/>
  <c r="B89" i="1"/>
  <c r="B91" i="8" l="1"/>
  <c r="F90" i="8"/>
  <c r="E90" i="8"/>
  <c r="F90" i="7"/>
  <c r="E90" i="7"/>
  <c r="B91" i="7"/>
  <c r="B91" i="6"/>
  <c r="F90" i="6"/>
  <c r="E90" i="6"/>
  <c r="B90" i="1"/>
  <c r="B92" i="8" l="1"/>
  <c r="F91" i="8"/>
  <c r="E91" i="8"/>
  <c r="B92" i="7"/>
  <c r="F91" i="7"/>
  <c r="E91" i="7"/>
  <c r="B92" i="6"/>
  <c r="F91" i="6"/>
  <c r="E91" i="6"/>
  <c r="B91" i="1"/>
  <c r="E92" i="8" l="1"/>
  <c r="B93" i="8"/>
  <c r="F92" i="8"/>
  <c r="B93" i="7"/>
  <c r="F92" i="7"/>
  <c r="E92" i="7"/>
  <c r="B93" i="6"/>
  <c r="F92" i="6"/>
  <c r="E92" i="6"/>
  <c r="B92" i="1"/>
  <c r="B94" i="8" l="1"/>
  <c r="F93" i="8"/>
  <c r="E93" i="8"/>
  <c r="F93" i="7"/>
  <c r="E93" i="7"/>
  <c r="B94" i="7"/>
  <c r="F93" i="6"/>
  <c r="E93" i="6"/>
  <c r="B94" i="6"/>
  <c r="B93" i="1"/>
  <c r="B95" i="8" l="1"/>
  <c r="F94" i="8"/>
  <c r="E94" i="8"/>
  <c r="B95" i="7"/>
  <c r="F94" i="7"/>
  <c r="E94" i="7"/>
  <c r="B95" i="6"/>
  <c r="F94" i="6"/>
  <c r="E94" i="6"/>
  <c r="B94" i="1"/>
  <c r="B96" i="8" l="1"/>
  <c r="F95" i="8"/>
  <c r="E95" i="8"/>
  <c r="E95" i="7"/>
  <c r="B96" i="7"/>
  <c r="F95" i="7"/>
  <c r="B96" i="6"/>
  <c r="F95" i="6"/>
  <c r="E95" i="6"/>
  <c r="B95" i="1"/>
  <c r="F96" i="8" l="1"/>
  <c r="E96" i="8"/>
  <c r="B97" i="8"/>
  <c r="B97" i="7"/>
  <c r="F96" i="7"/>
  <c r="E96" i="7"/>
  <c r="B97" i="6"/>
  <c r="F96" i="6"/>
  <c r="E96" i="6"/>
  <c r="B96" i="1"/>
  <c r="B98" i="8" l="1"/>
  <c r="E97" i="8"/>
  <c r="F97" i="8"/>
  <c r="B98" i="7"/>
  <c r="F97" i="7"/>
  <c r="E97" i="7"/>
  <c r="F97" i="6"/>
  <c r="E97" i="6"/>
  <c r="B98" i="6"/>
  <c r="B97" i="1"/>
  <c r="B99" i="8" l="1"/>
  <c r="F98" i="8"/>
  <c r="E98" i="8"/>
  <c r="E98" i="7"/>
  <c r="F98" i="7"/>
  <c r="B99" i="7"/>
  <c r="F98" i="6"/>
  <c r="B99" i="6"/>
  <c r="E98" i="6"/>
  <c r="B98" i="1"/>
  <c r="B100" i="8" l="1"/>
  <c r="F99" i="8"/>
  <c r="E99" i="8"/>
  <c r="B100" i="7"/>
  <c r="F99" i="7"/>
  <c r="E99" i="7"/>
  <c r="B100" i="6"/>
  <c r="F99" i="6"/>
  <c r="E99" i="6"/>
  <c r="B99" i="1"/>
  <c r="B101" i="8" l="1"/>
  <c r="F100" i="8"/>
  <c r="E100" i="8"/>
  <c r="B101" i="7"/>
  <c r="F100" i="7"/>
  <c r="E100" i="7"/>
  <c r="F100" i="6"/>
  <c r="B101" i="6"/>
  <c r="E100" i="6"/>
  <c r="B100" i="1"/>
  <c r="B102" i="8" l="1"/>
  <c r="F101" i="8"/>
  <c r="E101" i="8"/>
  <c r="F101" i="7"/>
  <c r="E101" i="7"/>
  <c r="B102" i="7"/>
  <c r="F101" i="6"/>
  <c r="E101" i="6"/>
  <c r="B102" i="6"/>
  <c r="B101" i="1"/>
  <c r="B103" i="8" l="1"/>
  <c r="F102" i="8"/>
  <c r="E102" i="8"/>
  <c r="B103" i="7"/>
  <c r="F102" i="7"/>
  <c r="E102" i="7"/>
  <c r="F102" i="6"/>
  <c r="E102" i="6"/>
  <c r="B103" i="6"/>
  <c r="B102" i="1"/>
  <c r="B104" i="8" l="1"/>
  <c r="F103" i="8"/>
  <c r="E103" i="8"/>
  <c r="E103" i="7"/>
  <c r="B104" i="7"/>
  <c r="F103" i="7"/>
  <c r="B104" i="6"/>
  <c r="F103" i="6"/>
  <c r="E103" i="6"/>
  <c r="B103" i="1"/>
  <c r="F104" i="8" l="1"/>
  <c r="E104" i="8"/>
  <c r="B105" i="8"/>
  <c r="F104" i="7"/>
  <c r="B105" i="7"/>
  <c r="E104" i="7"/>
  <c r="B105" i="6"/>
  <c r="E104" i="6"/>
  <c r="F104" i="6"/>
  <c r="B104" i="1"/>
  <c r="E105" i="8" l="1"/>
  <c r="B106" i="8"/>
  <c r="F105" i="8"/>
  <c r="B106" i="7"/>
  <c r="F105" i="7"/>
  <c r="E105" i="7"/>
  <c r="F105" i="6"/>
  <c r="E105" i="6"/>
  <c r="B106" i="6"/>
  <c r="B105" i="1"/>
  <c r="B107" i="8" l="1"/>
  <c r="F106" i="8"/>
  <c r="E106" i="8"/>
  <c r="F106" i="7"/>
  <c r="E106" i="7"/>
  <c r="B107" i="7"/>
  <c r="B107" i="6"/>
  <c r="F106" i="6"/>
  <c r="E106" i="6"/>
  <c r="B106" i="1"/>
  <c r="E107" i="8" l="1"/>
  <c r="B108" i="8"/>
  <c r="F107" i="8"/>
  <c r="B108" i="7"/>
  <c r="F107" i="7"/>
  <c r="E107" i="7"/>
  <c r="B108" i="6"/>
  <c r="F107" i="6"/>
  <c r="E107" i="6"/>
  <c r="B107" i="1"/>
  <c r="F108" i="8" l="1"/>
  <c r="B109" i="8"/>
  <c r="E108" i="8"/>
  <c r="B109" i="7"/>
  <c r="F108" i="7"/>
  <c r="E108" i="7"/>
  <c r="F108" i="6"/>
  <c r="B109" i="6"/>
  <c r="E108" i="6"/>
  <c r="B108" i="1"/>
  <c r="B110" i="8" l="1"/>
  <c r="F109" i="8"/>
  <c r="E109" i="8"/>
  <c r="F109" i="7"/>
  <c r="E109" i="7"/>
  <c r="B110" i="7"/>
  <c r="F109" i="6"/>
  <c r="E109" i="6"/>
  <c r="B110" i="6"/>
  <c r="B109" i="1"/>
  <c r="B111" i="8" l="1"/>
  <c r="F110" i="8"/>
  <c r="E110" i="8"/>
  <c r="F110" i="7"/>
  <c r="B111" i="7"/>
  <c r="E110" i="7"/>
  <c r="F110" i="6"/>
  <c r="E110" i="6"/>
  <c r="B111" i="6"/>
  <c r="B110" i="1"/>
  <c r="B112" i="8" l="1"/>
  <c r="F111" i="8"/>
  <c r="E111" i="8"/>
  <c r="B112" i="7"/>
  <c r="F111" i="7"/>
  <c r="E111" i="7"/>
  <c r="F111" i="6"/>
  <c r="B111" i="1"/>
  <c r="F112" i="8" l="1"/>
  <c r="E112" i="8"/>
  <c r="B113" i="8"/>
  <c r="F112" i="7"/>
  <c r="B113" i="7"/>
  <c r="E112" i="7"/>
  <c r="B112" i="1"/>
  <c r="B114" i="8" l="1"/>
  <c r="F113" i="8"/>
  <c r="E113" i="8"/>
  <c r="B114" i="7"/>
  <c r="F113" i="7"/>
  <c r="E113" i="7"/>
  <c r="B113" i="1"/>
  <c r="E114" i="8" l="1"/>
  <c r="B115" i="8"/>
  <c r="F114" i="8"/>
  <c r="E114" i="7"/>
  <c r="B115" i="7"/>
  <c r="F114" i="7"/>
  <c r="B114" i="1"/>
  <c r="B116" i="8" l="1"/>
  <c r="F115" i="8"/>
  <c r="E115" i="8"/>
  <c r="B116" i="7"/>
  <c r="F115" i="7"/>
  <c r="E115" i="7"/>
  <c r="B115" i="1"/>
  <c r="B117" i="8" l="1"/>
  <c r="F116" i="8"/>
  <c r="E116" i="8"/>
  <c r="B117" i="7"/>
  <c r="F116" i="7"/>
  <c r="E116" i="7"/>
  <c r="B116" i="1"/>
  <c r="B118" i="8" l="1"/>
  <c r="F117" i="8"/>
  <c r="E117" i="8"/>
  <c r="F117" i="7"/>
  <c r="E117" i="7"/>
  <c r="B118" i="7"/>
  <c r="B117" i="1"/>
  <c r="B119" i="8" l="1"/>
  <c r="F118" i="8"/>
  <c r="E118" i="8"/>
  <c r="F118" i="7"/>
  <c r="B119" i="7"/>
  <c r="E118" i="7"/>
  <c r="B120" i="8" l="1"/>
  <c r="F119" i="8"/>
  <c r="E119" i="8"/>
  <c r="E119" i="7"/>
  <c r="B120" i="7"/>
  <c r="F119" i="7"/>
  <c r="I4" i="5"/>
  <c r="H4" i="5"/>
  <c r="J4" i="5"/>
  <c r="K4" i="5"/>
  <c r="F120" i="8" l="1"/>
  <c r="E120" i="8"/>
  <c r="B121" i="8"/>
  <c r="F120" i="7"/>
  <c r="B121" i="7"/>
  <c r="E120" i="7"/>
  <c r="B122" i="8" l="1"/>
  <c r="F121" i="8"/>
  <c r="E121" i="8"/>
  <c r="B122" i="7"/>
  <c r="F121" i="7"/>
  <c r="E121" i="7"/>
  <c r="F122" i="8" l="1"/>
  <c r="E122" i="8"/>
  <c r="B123" i="8"/>
  <c r="F122" i="7"/>
  <c r="B123" i="7"/>
  <c r="E122" i="7"/>
  <c r="B124" i="8" l="1"/>
  <c r="E123" i="8"/>
  <c r="F123" i="8"/>
  <c r="B124" i="7"/>
  <c r="F123" i="7"/>
  <c r="E123" i="7"/>
  <c r="B125" i="8" l="1"/>
  <c r="F124" i="8"/>
  <c r="E124" i="8"/>
  <c r="B125" i="7"/>
  <c r="F124" i="7"/>
  <c r="E124" i="7"/>
  <c r="F125" i="8" l="1"/>
  <c r="E125" i="8"/>
  <c r="B126" i="8"/>
  <c r="F125" i="7"/>
  <c r="E125" i="7"/>
  <c r="B126" i="7"/>
  <c r="B127" i="8" l="1"/>
  <c r="F126" i="8"/>
  <c r="E126" i="8"/>
  <c r="F126" i="7"/>
  <c r="B127" i="7"/>
  <c r="E126" i="7"/>
  <c r="B128" i="8" l="1"/>
  <c r="F127" i="8"/>
  <c r="E127" i="8"/>
  <c r="E127" i="7"/>
  <c r="B128" i="7"/>
  <c r="F127" i="7"/>
  <c r="F128" i="8" l="1"/>
  <c r="E128" i="8"/>
  <c r="B129" i="8"/>
  <c r="B129" i="7"/>
  <c r="F128" i="7"/>
  <c r="E128" i="7"/>
  <c r="E129" i="8" l="1"/>
  <c r="B130" i="8"/>
  <c r="F129" i="8"/>
  <c r="B130" i="7"/>
  <c r="F129" i="7"/>
  <c r="E129" i="7"/>
  <c r="B131" i="8" l="1"/>
  <c r="F130" i="8"/>
  <c r="E130" i="8"/>
  <c r="E130" i="7"/>
  <c r="B131" i="7"/>
  <c r="F130" i="7"/>
  <c r="F131" i="8" l="1"/>
  <c r="B132" i="8"/>
  <c r="E131" i="8"/>
  <c r="B132" i="7"/>
  <c r="F131" i="7"/>
  <c r="E131" i="7"/>
  <c r="B133" i="8" l="1"/>
  <c r="F132" i="8"/>
  <c r="E132" i="8"/>
  <c r="B133" i="7"/>
  <c r="E132" i="7"/>
  <c r="F132" i="7"/>
  <c r="B134" i="8" l="1"/>
  <c r="F133" i="8"/>
  <c r="E133" i="8"/>
  <c r="F133" i="7"/>
  <c r="E133" i="7"/>
  <c r="B134" i="7"/>
  <c r="F134" i="8" l="1"/>
  <c r="E134" i="8"/>
  <c r="B135" i="8"/>
  <c r="B135" i="7"/>
  <c r="F134" i="7"/>
  <c r="E134" i="7"/>
  <c r="B136" i="8" l="1"/>
  <c r="F135" i="8"/>
  <c r="E135" i="8"/>
  <c r="E135" i="7"/>
  <c r="B136" i="7"/>
  <c r="F135" i="7"/>
  <c r="F136" i="8" l="1"/>
  <c r="E136" i="8"/>
  <c r="B137" i="8"/>
  <c r="B137" i="7"/>
  <c r="F136" i="7"/>
  <c r="E136" i="7"/>
  <c r="F137" i="8" l="1"/>
  <c r="E137" i="8"/>
  <c r="B138" i="8"/>
  <c r="B138" i="7"/>
  <c r="F137" i="7"/>
  <c r="E137" i="7"/>
  <c r="E138" i="8" l="1"/>
  <c r="F138" i="8"/>
  <c r="B139" i="8"/>
  <c r="E138" i="7"/>
  <c r="B139" i="7"/>
  <c r="F138" i="7"/>
  <c r="F139" i="8" l="1"/>
  <c r="B140" i="8"/>
  <c r="E139" i="8"/>
  <c r="B140" i="7"/>
  <c r="F139" i="7"/>
  <c r="E139" i="7"/>
  <c r="B141" i="8" l="1"/>
  <c r="E140" i="8"/>
  <c r="F140" i="8"/>
  <c r="B141" i="7"/>
  <c r="F140" i="7"/>
  <c r="E140" i="7"/>
  <c r="I4" i="7" l="1"/>
  <c r="H4" i="7"/>
  <c r="F141" i="8"/>
  <c r="E141" i="8"/>
  <c r="B142" i="8"/>
  <c r="F141" i="7"/>
  <c r="K4" i="7" l="1"/>
  <c r="J4" i="7"/>
  <c r="B143" i="8"/>
  <c r="F142" i="8"/>
  <c r="E142" i="8"/>
  <c r="B144" i="8" l="1"/>
  <c r="F143" i="8"/>
  <c r="E143" i="8"/>
  <c r="F144" i="8" l="1"/>
  <c r="E144" i="8"/>
  <c r="B145" i="8"/>
  <c r="B146" i="8" l="1"/>
  <c r="F145" i="8"/>
  <c r="E145" i="8"/>
  <c r="F146" i="8" l="1"/>
  <c r="E146" i="8"/>
  <c r="B147" i="8"/>
  <c r="E147" i="8" l="1"/>
  <c r="F147" i="8"/>
  <c r="I4" i="8" l="1"/>
  <c r="H4" i="8"/>
  <c r="J4" i="8"/>
  <c r="K4" i="8"/>
  <c r="I4" i="9" l="1"/>
  <c r="H4" i="9"/>
  <c r="K4" i="9" l="1"/>
  <c r="J4" i="9"/>
</calcChain>
</file>

<file path=xl/sharedStrings.xml><?xml version="1.0" encoding="utf-8"?>
<sst xmlns="http://schemas.openxmlformats.org/spreadsheetml/2006/main" count="706" uniqueCount="326">
  <si>
    <t>Cost</t>
  </si>
  <si>
    <t>Weight</t>
  </si>
  <si>
    <t/>
  </si>
  <si>
    <t>Min. Cost</t>
  </si>
  <si>
    <t>Max. Cost</t>
  </si>
  <si>
    <t>Min. Weight</t>
  </si>
  <si>
    <t>Max. Weight</t>
  </si>
  <si>
    <t>[97097</t>
  </si>
  <si>
    <t>[97839</t>
  </si>
  <si>
    <t>[97692</t>
  </si>
  <si>
    <t>[97832</t>
  </si>
  <si>
    <t>[98332</t>
  </si>
  <si>
    <t>[100252</t>
  </si>
  <si>
    <t>[98559</t>
  </si>
  <si>
    <t>[97873</t>
  </si>
  <si>
    <t>[98267</t>
  </si>
  <si>
    <t>[100439</t>
  </si>
  <si>
    <t>[95922</t>
  </si>
  <si>
    <t>[99532</t>
  </si>
  <si>
    <t>[95454</t>
  </si>
  <si>
    <t>[97713</t>
  </si>
  <si>
    <t>[100484</t>
  </si>
  <si>
    <t>[98965</t>
  </si>
  <si>
    <t>[97695</t>
  </si>
  <si>
    <t>[99255</t>
  </si>
  <si>
    <t>[98833</t>
  </si>
  <si>
    <t>[99617</t>
  </si>
  <si>
    <t>[99218</t>
  </si>
  <si>
    <t>[96447</t>
  </si>
  <si>
    <t>[97602</t>
  </si>
  <si>
    <t>[100200</t>
  </si>
  <si>
    <t>[100463</t>
  </si>
  <si>
    <t>[99533</t>
  </si>
  <si>
    <t>[96462</t>
  </si>
  <si>
    <t># Solutions:</t>
  </si>
  <si>
    <t>[[93239</t>
  </si>
  <si>
    <t>[98960</t>
  </si>
  <si>
    <t>[81500</t>
  </si>
  <si>
    <t>[83039</t>
  </si>
  <si>
    <t>[100149</t>
  </si>
  <si>
    <t>[99264</t>
  </si>
  <si>
    <t>[98466</t>
  </si>
  <si>
    <t>[98057</t>
  </si>
  <si>
    <t>[94174</t>
  </si>
  <si>
    <t>[98279</t>
  </si>
  <si>
    <t>[99393</t>
  </si>
  <si>
    <t>[97372</t>
  </si>
  <si>
    <t>[83976</t>
  </si>
  <si>
    <t>[97868</t>
  </si>
  <si>
    <t>[95944</t>
  </si>
  <si>
    <t>[96745</t>
  </si>
  <si>
    <t>[98759</t>
  </si>
  <si>
    <t>[100360</t>
  </si>
  <si>
    <t>[99306</t>
  </si>
  <si>
    <t>[84233</t>
  </si>
  <si>
    <t>[98369</t>
  </si>
  <si>
    <t>[100217</t>
  </si>
  <si>
    <t>[98488</t>
  </si>
  <si>
    <t>[99976</t>
  </si>
  <si>
    <t>[99154</t>
  </si>
  <si>
    <t>[98404</t>
  </si>
  <si>
    <t>[99561</t>
  </si>
  <si>
    <t>[98344</t>
  </si>
  <si>
    <t>[100173</t>
  </si>
  <si>
    <t>[99376</t>
  </si>
  <si>
    <t>[99672</t>
  </si>
  <si>
    <t>[99327</t>
  </si>
  <si>
    <t>[94138</t>
  </si>
  <si>
    <t>[99659</t>
  </si>
  <si>
    <t>[96334</t>
  </si>
  <si>
    <t>[98543</t>
  </si>
  <si>
    <t>[91737</t>
  </si>
  <si>
    <t>[94078</t>
  </si>
  <si>
    <t>[99580</t>
  </si>
  <si>
    <t>[92039</t>
  </si>
  <si>
    <t>[99471</t>
  </si>
  <si>
    <t>[98194</t>
  </si>
  <si>
    <t>[99737</t>
  </si>
  <si>
    <t>[99950</t>
  </si>
  <si>
    <t>[99106</t>
  </si>
  <si>
    <t>[96196</t>
  </si>
  <si>
    <t>[97680</t>
  </si>
  <si>
    <t>[98216</t>
  </si>
  <si>
    <t>[[97813</t>
  </si>
  <si>
    <t>[99190</t>
  </si>
  <si>
    <t>[98095</t>
  </si>
  <si>
    <t>[92243</t>
  </si>
  <si>
    <t>[99589</t>
  </si>
  <si>
    <t>[100040</t>
  </si>
  <si>
    <t>[99838</t>
  </si>
  <si>
    <t>[97624</t>
  </si>
  <si>
    <t>[100052</t>
  </si>
  <si>
    <t>[100309</t>
  </si>
  <si>
    <t>[96117</t>
  </si>
  <si>
    <t>[100153</t>
  </si>
  <si>
    <t>[100059</t>
  </si>
  <si>
    <t>[96330</t>
  </si>
  <si>
    <t>[95131</t>
  </si>
  <si>
    <t>[99585</t>
  </si>
  <si>
    <t>[97822</t>
  </si>
  <si>
    <t>[90062</t>
  </si>
  <si>
    <t>[89305</t>
  </si>
  <si>
    <t>[96488</t>
  </si>
  <si>
    <t>[97577</t>
  </si>
  <si>
    <t>[97131</t>
  </si>
  <si>
    <t>[98858</t>
  </si>
  <si>
    <t>[94888</t>
  </si>
  <si>
    <t>[92849</t>
  </si>
  <si>
    <t>[97030</t>
  </si>
  <si>
    <t>[94193</t>
  </si>
  <si>
    <t>[94020</t>
  </si>
  <si>
    <t>[97146</t>
  </si>
  <si>
    <t>[97543</t>
  </si>
  <si>
    <t>[98609</t>
  </si>
  <si>
    <t>[100285</t>
  </si>
  <si>
    <t>[97779</t>
  </si>
  <si>
    <t>[91363</t>
  </si>
  <si>
    <t>[97852</t>
  </si>
  <si>
    <t>[[89875</t>
  </si>
  <si>
    <t>[95618</t>
  </si>
  <si>
    <t>[99925</t>
  </si>
  <si>
    <t>[98038</t>
  </si>
  <si>
    <t>[97448</t>
  </si>
  <si>
    <t>[99369</t>
  </si>
  <si>
    <t>[100447</t>
  </si>
  <si>
    <t>[98215</t>
  </si>
  <si>
    <t>[91098</t>
  </si>
  <si>
    <t>[98757</t>
  </si>
  <si>
    <t>[95540</t>
  </si>
  <si>
    <t>[99674</t>
  </si>
  <si>
    <t>[91942</t>
  </si>
  <si>
    <t>[100288</t>
  </si>
  <si>
    <t>[98281</t>
  </si>
  <si>
    <t>[100273</t>
  </si>
  <si>
    <t>[98936</t>
  </si>
  <si>
    <t>[98584</t>
  </si>
  <si>
    <t>[99816</t>
  </si>
  <si>
    <t>[98587</t>
  </si>
  <si>
    <t>[95353</t>
  </si>
  <si>
    <t>[88154</t>
  </si>
  <si>
    <t>[95501</t>
  </si>
  <si>
    <t>[100227</t>
  </si>
  <si>
    <t>[99772</t>
  </si>
  <si>
    <t>[92046</t>
  </si>
  <si>
    <t>[100436</t>
  </si>
  <si>
    <t>[92822</t>
  </si>
  <si>
    <t>[99215</t>
  </si>
  <si>
    <t>[89333</t>
  </si>
  <si>
    <t>[100368</t>
  </si>
  <si>
    <t>[94887</t>
  </si>
  <si>
    <t>[98803</t>
  </si>
  <si>
    <t>[98412</t>
  </si>
  <si>
    <t>[100399</t>
  </si>
  <si>
    <t>[99391</t>
  </si>
  <si>
    <t>[100208</t>
  </si>
  <si>
    <t>[98920</t>
  </si>
  <si>
    <t>[96929</t>
  </si>
  <si>
    <t>[97405</t>
  </si>
  <si>
    <t>[99999</t>
  </si>
  <si>
    <t>[98007</t>
  </si>
  <si>
    <t>[99979</t>
  </si>
  <si>
    <t>[98625</t>
  </si>
  <si>
    <t>[97786</t>
  </si>
  <si>
    <t>[[98197</t>
  </si>
  <si>
    <t>[99065</t>
  </si>
  <si>
    <t>[99545</t>
  </si>
  <si>
    <t>[99079</t>
  </si>
  <si>
    <t>[99096</t>
  </si>
  <si>
    <t>[99051</t>
  </si>
  <si>
    <t>[97533</t>
  </si>
  <si>
    <t>[98184</t>
  </si>
  <si>
    <t>[99291</t>
  </si>
  <si>
    <t>[99349</t>
  </si>
  <si>
    <t>[97464</t>
  </si>
  <si>
    <t>[96255</t>
  </si>
  <si>
    <t>[97174</t>
  </si>
  <si>
    <t>[97725</t>
  </si>
  <si>
    <t>[[98340</t>
  </si>
  <si>
    <t>[100104</t>
  </si>
  <si>
    <t>[80388</t>
  </si>
  <si>
    <t>[96702</t>
  </si>
  <si>
    <t>[96613</t>
  </si>
  <si>
    <t>[91994</t>
  </si>
  <si>
    <t>[96021</t>
  </si>
  <si>
    <t>[99152</t>
  </si>
  <si>
    <t>[99159</t>
  </si>
  <si>
    <t>[100478</t>
  </si>
  <si>
    <t>[90180</t>
  </si>
  <si>
    <t>[88611</t>
  </si>
  <si>
    <t>[97803</t>
  </si>
  <si>
    <t>[100266</t>
  </si>
  <si>
    <t>[92842</t>
  </si>
  <si>
    <t>[93646</t>
  </si>
  <si>
    <t>[89646</t>
  </si>
  <si>
    <t>[97311</t>
  </si>
  <si>
    <t>[99241</t>
  </si>
  <si>
    <t>[96525</t>
  </si>
  <si>
    <t>[96937</t>
  </si>
  <si>
    <t>[97671</t>
  </si>
  <si>
    <t>[99724</t>
  </si>
  <si>
    <t>[99834</t>
  </si>
  <si>
    <t>[99104</t>
  </si>
  <si>
    <t>[94202</t>
  </si>
  <si>
    <t>[93737</t>
  </si>
  <si>
    <t>[100350</t>
  </si>
  <si>
    <t>[99363</t>
  </si>
  <si>
    <t>[96504</t>
  </si>
  <si>
    <t>[99073</t>
  </si>
  <si>
    <t>[99382</t>
  </si>
  <si>
    <t>[86181</t>
  </si>
  <si>
    <t>[97994</t>
  </si>
  <si>
    <t>[99667</t>
  </si>
  <si>
    <t>[99998</t>
  </si>
  <si>
    <t>[98160</t>
  </si>
  <si>
    <t>[98463</t>
  </si>
  <si>
    <t>[88344</t>
  </si>
  <si>
    <t>[99658</t>
  </si>
  <si>
    <t>[100274</t>
  </si>
  <si>
    <t>[96975</t>
  </si>
  <si>
    <t>[[98106</t>
  </si>
  <si>
    <t>[99742</t>
  </si>
  <si>
    <t>[100241</t>
  </si>
  <si>
    <t>[97907</t>
  </si>
  <si>
    <t>[99706</t>
  </si>
  <si>
    <t>[87509</t>
  </si>
  <si>
    <t>[88127</t>
  </si>
  <si>
    <t>[93570</t>
  </si>
  <si>
    <t>[93477</t>
  </si>
  <si>
    <t>[97961</t>
  </si>
  <si>
    <t>[99129</t>
  </si>
  <si>
    <t>[96081</t>
  </si>
  <si>
    <t>[91636</t>
  </si>
  <si>
    <t>[99967</t>
  </si>
  <si>
    <t>[95389</t>
  </si>
  <si>
    <t>[91270</t>
  </si>
  <si>
    <t>[99600</t>
  </si>
  <si>
    <t>[99818</t>
  </si>
  <si>
    <t>[97614</t>
  </si>
  <si>
    <t>[97787</t>
  </si>
  <si>
    <t>[98798</t>
  </si>
  <si>
    <t>[98427</t>
  </si>
  <si>
    <t>[93742</t>
  </si>
  <si>
    <t>[100281</t>
  </si>
  <si>
    <t>[93867</t>
  </si>
  <si>
    <t>[94369</t>
  </si>
  <si>
    <t>[100452</t>
  </si>
  <si>
    <t>[96973</t>
  </si>
  <si>
    <t>[97332</t>
  </si>
  <si>
    <t>[96137</t>
  </si>
  <si>
    <t>[98678</t>
  </si>
  <si>
    <t>[96580</t>
  </si>
  <si>
    <t>[97709</t>
  </si>
  <si>
    <t>[95866</t>
  </si>
  <si>
    <t>[79920</t>
  </si>
  <si>
    <t>[99397</t>
  </si>
  <si>
    <t>[94282</t>
  </si>
  <si>
    <t>[90581</t>
  </si>
  <si>
    <t>[98370</t>
  </si>
  <si>
    <t>[96682</t>
  </si>
  <si>
    <t>[97942</t>
  </si>
  <si>
    <t>[97857</t>
  </si>
  <si>
    <t>[98345</t>
  </si>
  <si>
    <t>[95052</t>
  </si>
  <si>
    <t>[96767</t>
  </si>
  <si>
    <t>[99969</t>
  </si>
  <si>
    <t>[[96362</t>
  </si>
  <si>
    <t>[96501</t>
  </si>
  <si>
    <t>[99041</t>
  </si>
  <si>
    <t>[99246</t>
  </si>
  <si>
    <t>[99343</t>
  </si>
  <si>
    <t>[96954</t>
  </si>
  <si>
    <t>[94468</t>
  </si>
  <si>
    <t>[98340</t>
  </si>
  <si>
    <t>[96641</t>
  </si>
  <si>
    <t>[100453</t>
  </si>
  <si>
    <t>[97575</t>
  </si>
  <si>
    <t>[99622</t>
  </si>
  <si>
    <t>[91851</t>
  </si>
  <si>
    <t>[95264</t>
  </si>
  <si>
    <t>[96414</t>
  </si>
  <si>
    <t>[98510</t>
  </si>
  <si>
    <t>[99921</t>
  </si>
  <si>
    <t>[98957</t>
  </si>
  <si>
    <t>[100267</t>
  </si>
  <si>
    <t>[97678</t>
  </si>
  <si>
    <t>[96082</t>
  </si>
  <si>
    <t>[98389</t>
  </si>
  <si>
    <t>[100419</t>
  </si>
  <si>
    <t>[96367</t>
  </si>
  <si>
    <t>[100319</t>
  </si>
  <si>
    <t>[97954</t>
  </si>
  <si>
    <t>[98354</t>
  </si>
  <si>
    <t>[99822</t>
  </si>
  <si>
    <t>[98641</t>
  </si>
  <si>
    <t>[100496</t>
  </si>
  <si>
    <t>[94081</t>
  </si>
  <si>
    <t>[94596</t>
  </si>
  <si>
    <t>[94527</t>
  </si>
  <si>
    <t>[100344</t>
  </si>
  <si>
    <t>[89600</t>
  </si>
  <si>
    <t>[96628</t>
  </si>
  <si>
    <t>[97439</t>
  </si>
  <si>
    <t>[96728</t>
  </si>
  <si>
    <t>[98590</t>
  </si>
  <si>
    <t>[99529</t>
  </si>
  <si>
    <t>[100451</t>
  </si>
  <si>
    <t>[99619</t>
  </si>
  <si>
    <t>[95462</t>
  </si>
  <si>
    <t>[99935</t>
  </si>
  <si>
    <t>[99949</t>
  </si>
  <si>
    <t>[93049</t>
  </si>
  <si>
    <t>[[94985</t>
  </si>
  <si>
    <t>[95561</t>
  </si>
  <si>
    <t>[100049</t>
  </si>
  <si>
    <t>[75012</t>
  </si>
  <si>
    <t>[97323</t>
  </si>
  <si>
    <t>[100020</t>
  </si>
  <si>
    <t>[99583</t>
  </si>
  <si>
    <t>[93449</t>
  </si>
  <si>
    <t>[99943</t>
  </si>
  <si>
    <t>[97936</t>
  </si>
  <si>
    <t>[96681</t>
  </si>
  <si>
    <t>[96920</t>
  </si>
  <si>
    <t>[99254</t>
  </si>
  <si>
    <t>[97510</t>
  </si>
  <si>
    <t>[92645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</si>
</sst>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EBB1-74A4-439A-ADBD-EFF6338486AF}">
  <dimension ref="A1:FF165"/>
  <sheetViews>
    <sheetView workbookViewId="0">
      <selection activeCell="K10" sqref="K10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62" x14ac:dyDescent="0.55000000000000004">
      <c r="A1" t="s">
        <v>35</v>
      </c>
      <c r="B1">
        <v>23183.633062610799</v>
      </c>
      <c r="C1">
        <v>5615.7409273655003</v>
      </c>
      <c r="D1" t="s">
        <v>36</v>
      </c>
      <c r="E1">
        <v>28360.153263361899</v>
      </c>
      <c r="F1">
        <v>5075.6443654280101</v>
      </c>
      <c r="G1" t="s">
        <v>37</v>
      </c>
      <c r="H1">
        <v>24908.806958013301</v>
      </c>
      <c r="I1">
        <v>5360.8170159720403</v>
      </c>
      <c r="J1" t="s">
        <v>38</v>
      </c>
      <c r="K1">
        <v>23608.0102349183</v>
      </c>
      <c r="L1">
        <v>5559.1640210197102</v>
      </c>
      <c r="M1" t="s">
        <v>39</v>
      </c>
      <c r="N1">
        <v>24462.120685398499</v>
      </c>
      <c r="O1">
        <v>5387.0403864330601</v>
      </c>
      <c r="P1" t="s">
        <v>13</v>
      </c>
      <c r="Q1">
        <v>25435.095127264201</v>
      </c>
      <c r="R1">
        <v>5313.9968535784001</v>
      </c>
      <c r="S1" t="s">
        <v>12</v>
      </c>
      <c r="T1">
        <v>23970.589676867399</v>
      </c>
      <c r="U1">
        <v>5495.5147528580901</v>
      </c>
      <c r="V1" t="s">
        <v>40</v>
      </c>
      <c r="W1">
        <v>25909.099376844999</v>
      </c>
      <c r="X1">
        <v>5270.0696198585802</v>
      </c>
      <c r="Y1" t="s">
        <v>41</v>
      </c>
      <c r="Z1">
        <v>25395.724466712902</v>
      </c>
      <c r="AA1">
        <v>5328.9565708111604</v>
      </c>
      <c r="AB1" t="s">
        <v>42</v>
      </c>
      <c r="AC1">
        <v>27311.329240143001</v>
      </c>
      <c r="AD1">
        <v>5185.2051130323598</v>
      </c>
      <c r="AE1" t="s">
        <v>43</v>
      </c>
      <c r="AF1">
        <v>27823.712426107599</v>
      </c>
      <c r="AG1">
        <v>5146.7451194012601</v>
      </c>
      <c r="AH1" t="s">
        <v>44</v>
      </c>
      <c r="AI1">
        <v>26376.8821898061</v>
      </c>
      <c r="AJ1">
        <v>5234.9882499627802</v>
      </c>
      <c r="AK1" t="s">
        <v>45</v>
      </c>
      <c r="AL1">
        <v>24008.3503641311</v>
      </c>
      <c r="AM1">
        <v>5464.6096174734603</v>
      </c>
      <c r="AN1" t="s">
        <v>46</v>
      </c>
      <c r="AO1">
        <v>24416.210512055499</v>
      </c>
      <c r="AP1">
        <v>5438.0388844273402</v>
      </c>
      <c r="AQ1" t="s">
        <v>47</v>
      </c>
      <c r="AR1">
        <v>23187.5516785566</v>
      </c>
      <c r="AS1">
        <v>5607.7899093293699</v>
      </c>
      <c r="AT1" t="s">
        <v>20</v>
      </c>
      <c r="AU1">
        <v>27320.853962306101</v>
      </c>
      <c r="AV1">
        <v>5160.6684056016702</v>
      </c>
      <c r="AW1" t="s">
        <v>48</v>
      </c>
      <c r="AX1">
        <v>28312.624641267601</v>
      </c>
      <c r="AY1">
        <v>5113.0110737804698</v>
      </c>
      <c r="AZ1" t="s">
        <v>49</v>
      </c>
      <c r="BA1">
        <v>26344.271238257799</v>
      </c>
      <c r="BB1">
        <v>5257.7560037314097</v>
      </c>
      <c r="BC1" t="s">
        <v>50</v>
      </c>
      <c r="BD1">
        <v>23571.146622350701</v>
      </c>
      <c r="BE1">
        <v>5584.9072331252401</v>
      </c>
      <c r="BF1" t="s">
        <v>51</v>
      </c>
      <c r="BG1">
        <v>27855.409864487701</v>
      </c>
      <c r="BH1">
        <v>5116.2009453065903</v>
      </c>
      <c r="BI1" t="s">
        <v>52</v>
      </c>
      <c r="BJ1">
        <v>26833.704967285601</v>
      </c>
      <c r="BK1">
        <v>5226.0342637031899</v>
      </c>
      <c r="BL1" t="s">
        <v>53</v>
      </c>
      <c r="BM1">
        <v>26869.341471451698</v>
      </c>
      <c r="BN1">
        <v>5196.9630146152904</v>
      </c>
      <c r="BO1" t="s">
        <v>23</v>
      </c>
      <c r="BP1">
        <v>25909.428711756998</v>
      </c>
      <c r="BQ1">
        <v>5270.0429807528699</v>
      </c>
      <c r="BR1" t="s">
        <v>54</v>
      </c>
      <c r="BS1">
        <v>24461.6401074553</v>
      </c>
      <c r="BT1">
        <v>5424.0943959271199</v>
      </c>
      <c r="BU1" t="s">
        <v>55</v>
      </c>
      <c r="BV1">
        <v>28333.431828083601</v>
      </c>
      <c r="BW1">
        <v>5098.2536951596903</v>
      </c>
      <c r="BX1" t="s">
        <v>56</v>
      </c>
      <c r="BY1">
        <v>23577.216560464101</v>
      </c>
      <c r="BZ1">
        <v>5572.5667295392605</v>
      </c>
      <c r="CA1" t="s">
        <v>57</v>
      </c>
      <c r="CB1">
        <v>26352.5357990991</v>
      </c>
      <c r="CC1">
        <v>5248.7316462868102</v>
      </c>
      <c r="CD1" t="s">
        <v>58</v>
      </c>
      <c r="CE1">
        <v>28352.812236403599</v>
      </c>
      <c r="CF1">
        <v>5078.7238024110902</v>
      </c>
      <c r="CG1" t="s">
        <v>59</v>
      </c>
      <c r="CH1">
        <v>23983.756724835599</v>
      </c>
      <c r="CI1">
        <v>5474.9661298225201</v>
      </c>
      <c r="CJ1" t="s">
        <v>60</v>
      </c>
      <c r="CK1">
        <v>23975.293294450701</v>
      </c>
      <c r="CL1">
        <v>5492.7702666077903</v>
      </c>
      <c r="CM1" t="s">
        <v>61</v>
      </c>
      <c r="CN1">
        <v>27314.863160960202</v>
      </c>
      <c r="CO1">
        <v>5168.1980454929198</v>
      </c>
      <c r="CP1" t="s">
        <v>8</v>
      </c>
      <c r="CQ1">
        <v>26849.664175056099</v>
      </c>
      <c r="CR1">
        <v>5213.4084601424502</v>
      </c>
      <c r="CS1" t="s">
        <v>62</v>
      </c>
      <c r="CT1">
        <v>25406.4694831335</v>
      </c>
      <c r="CU1">
        <v>5323.5436398474603</v>
      </c>
      <c r="CV1" t="s">
        <v>63</v>
      </c>
      <c r="CW1">
        <v>26862.2843510815</v>
      </c>
      <c r="CX1">
        <v>5201.7432145967095</v>
      </c>
      <c r="CY1" t="s">
        <v>64</v>
      </c>
      <c r="CZ1">
        <v>23573.766685392198</v>
      </c>
      <c r="DA1">
        <v>5584.2198745371397</v>
      </c>
      <c r="DB1" t="s">
        <v>65</v>
      </c>
      <c r="DC1">
        <v>27854.682353159998</v>
      </c>
      <c r="DD1">
        <v>5126.59149213007</v>
      </c>
      <c r="DE1" t="s">
        <v>66</v>
      </c>
      <c r="DF1">
        <v>26846.4547928225</v>
      </c>
      <c r="DG1">
        <v>5219.9507969323504</v>
      </c>
      <c r="DH1" t="s">
        <v>67</v>
      </c>
      <c r="DI1">
        <v>27852.096789761901</v>
      </c>
      <c r="DJ1">
        <v>5132.3832817591301</v>
      </c>
      <c r="DK1" t="s">
        <v>68</v>
      </c>
      <c r="DL1">
        <v>24442.8611312389</v>
      </c>
      <c r="DM1">
        <v>5434.5087283761804</v>
      </c>
      <c r="DN1" t="s">
        <v>69</v>
      </c>
      <c r="DO1">
        <v>23989.211288965002</v>
      </c>
      <c r="DP1">
        <v>5471.8973391260297</v>
      </c>
      <c r="DQ1" t="s">
        <v>70</v>
      </c>
      <c r="DR1">
        <v>23997.6793895554</v>
      </c>
      <c r="DS1">
        <v>5467.1050952038004</v>
      </c>
      <c r="DT1" t="s">
        <v>7</v>
      </c>
      <c r="DU1">
        <v>27831.874996057599</v>
      </c>
      <c r="DV1">
        <v>5140.8195907601703</v>
      </c>
      <c r="DW1" t="s">
        <v>71</v>
      </c>
      <c r="DX1">
        <v>24447.420746249201</v>
      </c>
      <c r="DY1">
        <v>5429.0526345927201</v>
      </c>
      <c r="DZ1" t="s">
        <v>72</v>
      </c>
      <c r="EA1">
        <v>27318.894226025201</v>
      </c>
      <c r="EB1">
        <v>5164.44306927445</v>
      </c>
      <c r="EC1" t="s">
        <v>73</v>
      </c>
      <c r="ED1">
        <v>26842.867311664599</v>
      </c>
      <c r="EE1">
        <v>5224.1743016799501</v>
      </c>
      <c r="EF1" t="s">
        <v>74</v>
      </c>
      <c r="EG1">
        <v>27844.6326276496</v>
      </c>
      <c r="EH1">
        <v>5138.2781693854004</v>
      </c>
      <c r="EI1" t="s">
        <v>75</v>
      </c>
      <c r="EJ1">
        <v>24458.9216966104</v>
      </c>
      <c r="EK1">
        <v>5427.9732558083997</v>
      </c>
      <c r="EL1" t="s">
        <v>76</v>
      </c>
      <c r="EM1">
        <v>24426.684372542299</v>
      </c>
      <c r="EN1">
        <v>5436.66173408344</v>
      </c>
      <c r="EO1" t="s">
        <v>77</v>
      </c>
      <c r="EP1">
        <v>27853.046762012302</v>
      </c>
      <c r="EQ1">
        <v>5128.6302878822298</v>
      </c>
      <c r="ER1" t="s">
        <v>78</v>
      </c>
      <c r="ES1">
        <v>26862.958883692401</v>
      </c>
      <c r="ET1">
        <v>5197.3762111903698</v>
      </c>
      <c r="EU1" t="s">
        <v>79</v>
      </c>
      <c r="EV1">
        <v>28353.849238534101</v>
      </c>
      <c r="EW1">
        <v>5077.5607845899804</v>
      </c>
      <c r="EX1" t="s">
        <v>80</v>
      </c>
      <c r="EY1">
        <v>27834.121534968301</v>
      </c>
      <c r="EZ1">
        <v>5139.0120883969303</v>
      </c>
      <c r="FA1" t="s">
        <v>81</v>
      </c>
      <c r="FB1">
        <v>27844.108797840199</v>
      </c>
      <c r="FC1">
        <v>5138.46931571802</v>
      </c>
      <c r="FD1" t="s">
        <v>82</v>
      </c>
      <c r="FE1">
        <v>26868.6752027451</v>
      </c>
      <c r="FF1">
        <v>5197.1576265719696</v>
      </c>
    </row>
    <row r="3" spans="1:162" x14ac:dyDescent="0.55000000000000004">
      <c r="E3" t="s">
        <v>0</v>
      </c>
      <c r="F3" t="s">
        <v>1</v>
      </c>
      <c r="K3" t="s">
        <v>3</v>
      </c>
      <c r="L3" t="s">
        <v>4</v>
      </c>
      <c r="M3" t="s">
        <v>5</v>
      </c>
      <c r="N3" t="s">
        <v>6</v>
      </c>
      <c r="O3" t="s">
        <v>34</v>
      </c>
    </row>
    <row r="4" spans="1:162" x14ac:dyDescent="0.55000000000000004">
      <c r="B4">
        <f>1</f>
        <v>1</v>
      </c>
      <c r="C4" t="s">
        <v>35</v>
      </c>
      <c r="E4" t="str">
        <f>IF(B4=2,C4,"")</f>
        <v/>
      </c>
      <c r="F4" t="str">
        <f>IF(B4=3,C4,"")</f>
        <v/>
      </c>
      <c r="H4" t="s">
        <v>2</v>
      </c>
      <c r="I4" t="s">
        <v>2</v>
      </c>
      <c r="K4">
        <f>MIN(E4:E165)</f>
        <v>23183.633062610799</v>
      </c>
      <c r="L4">
        <f>MAX(E4:E165)</f>
        <v>28360.153263361899</v>
      </c>
      <c r="M4">
        <f>MIN(F4:F165)</f>
        <v>5075.6443654280101</v>
      </c>
      <c r="N4">
        <f>MAX(F4:F165)</f>
        <v>5615.7409273655003</v>
      </c>
      <c r="O4">
        <f>SUMIF(B4:B165,1)</f>
        <v>54</v>
      </c>
    </row>
    <row r="5" spans="1:162" x14ac:dyDescent="0.55000000000000004">
      <c r="B5">
        <f>IF(B4&lt;3,B4+1,1)</f>
        <v>2</v>
      </c>
      <c r="C5">
        <v>23183.633062610799</v>
      </c>
      <c r="E5">
        <f t="shared" ref="E5:E68" si="0">IF(B5=2,C5,"")</f>
        <v>23183.633062610799</v>
      </c>
      <c r="F5" t="str">
        <f t="shared" ref="F5:F68" si="1">IF(B5=3,C5,"")</f>
        <v/>
      </c>
    </row>
    <row r="6" spans="1:162" x14ac:dyDescent="0.55000000000000004">
      <c r="B6">
        <f t="shared" ref="B6:B69" si="2">IF(B5&lt;3,B5+1,1)</f>
        <v>3</v>
      </c>
      <c r="C6">
        <v>5615.7409273655003</v>
      </c>
      <c r="E6" t="str">
        <f t="shared" si="0"/>
        <v/>
      </c>
      <c r="F6">
        <f t="shared" si="1"/>
        <v>5615.7409273655003</v>
      </c>
    </row>
    <row r="7" spans="1:162" x14ac:dyDescent="0.55000000000000004">
      <c r="B7">
        <f t="shared" si="2"/>
        <v>1</v>
      </c>
      <c r="C7" t="s">
        <v>36</v>
      </c>
      <c r="E7" t="str">
        <f t="shared" si="0"/>
        <v/>
      </c>
      <c r="F7" t="str">
        <f t="shared" si="1"/>
        <v/>
      </c>
    </row>
    <row r="8" spans="1:162" x14ac:dyDescent="0.55000000000000004">
      <c r="B8">
        <f t="shared" si="2"/>
        <v>2</v>
      </c>
      <c r="C8">
        <v>28360.153263361899</v>
      </c>
      <c r="E8">
        <f t="shared" si="0"/>
        <v>28360.153263361899</v>
      </c>
      <c r="F8" t="str">
        <f t="shared" si="1"/>
        <v/>
      </c>
    </row>
    <row r="9" spans="1:162" x14ac:dyDescent="0.55000000000000004">
      <c r="B9">
        <f t="shared" si="2"/>
        <v>3</v>
      </c>
      <c r="C9">
        <v>5075.6443654280101</v>
      </c>
      <c r="E9" t="str">
        <f t="shared" si="0"/>
        <v/>
      </c>
      <c r="F9">
        <f t="shared" si="1"/>
        <v>5075.6443654280101</v>
      </c>
    </row>
    <row r="10" spans="1:162" x14ac:dyDescent="0.55000000000000004">
      <c r="B10">
        <f t="shared" si="2"/>
        <v>1</v>
      </c>
      <c r="C10" t="s">
        <v>37</v>
      </c>
      <c r="E10" t="str">
        <f t="shared" si="0"/>
        <v/>
      </c>
      <c r="F10" t="str">
        <f t="shared" si="1"/>
        <v/>
      </c>
    </row>
    <row r="11" spans="1:162" x14ac:dyDescent="0.55000000000000004">
      <c r="B11">
        <f t="shared" si="2"/>
        <v>2</v>
      </c>
      <c r="C11">
        <v>24908.806958013301</v>
      </c>
      <c r="E11">
        <f t="shared" si="0"/>
        <v>24908.806958013301</v>
      </c>
      <c r="F11" t="str">
        <f t="shared" si="1"/>
        <v/>
      </c>
    </row>
    <row r="12" spans="1:162" x14ac:dyDescent="0.55000000000000004">
      <c r="B12">
        <f t="shared" si="2"/>
        <v>3</v>
      </c>
      <c r="C12">
        <v>5360.8170159720403</v>
      </c>
      <c r="E12" t="str">
        <f t="shared" si="0"/>
        <v/>
      </c>
      <c r="F12">
        <f t="shared" si="1"/>
        <v>5360.8170159720403</v>
      </c>
    </row>
    <row r="13" spans="1:162" x14ac:dyDescent="0.55000000000000004">
      <c r="B13">
        <f t="shared" si="2"/>
        <v>1</v>
      </c>
      <c r="C13" t="s">
        <v>38</v>
      </c>
      <c r="E13" t="str">
        <f t="shared" si="0"/>
        <v/>
      </c>
      <c r="F13" t="str">
        <f t="shared" si="1"/>
        <v/>
      </c>
    </row>
    <row r="14" spans="1:162" x14ac:dyDescent="0.55000000000000004">
      <c r="B14">
        <f t="shared" si="2"/>
        <v>2</v>
      </c>
      <c r="C14">
        <v>23608.0102349183</v>
      </c>
      <c r="E14">
        <f t="shared" si="0"/>
        <v>23608.0102349183</v>
      </c>
      <c r="F14" t="str">
        <f t="shared" si="1"/>
        <v/>
      </c>
    </row>
    <row r="15" spans="1:162" x14ac:dyDescent="0.55000000000000004">
      <c r="B15">
        <f t="shared" si="2"/>
        <v>3</v>
      </c>
      <c r="C15">
        <v>5559.1640210197102</v>
      </c>
      <c r="E15" t="str">
        <f t="shared" si="0"/>
        <v/>
      </c>
      <c r="F15">
        <f t="shared" si="1"/>
        <v>5559.1640210197102</v>
      </c>
    </row>
    <row r="16" spans="1:162" x14ac:dyDescent="0.55000000000000004">
      <c r="B16">
        <f t="shared" si="2"/>
        <v>1</v>
      </c>
      <c r="C16" t="s">
        <v>39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24462.120685398499</v>
      </c>
      <c r="E17">
        <f t="shared" si="0"/>
        <v>24462.120685398499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5387.0403864330601</v>
      </c>
      <c r="E18" t="str">
        <f t="shared" si="0"/>
        <v/>
      </c>
      <c r="F18">
        <f t="shared" si="1"/>
        <v>5387.0403864330601</v>
      </c>
    </row>
    <row r="19" spans="2:6" x14ac:dyDescent="0.55000000000000004">
      <c r="B19">
        <f t="shared" si="2"/>
        <v>1</v>
      </c>
      <c r="C19" t="s">
        <v>13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25435.095127264201</v>
      </c>
      <c r="E20">
        <f t="shared" si="0"/>
        <v>25435.095127264201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5313.9968535784001</v>
      </c>
      <c r="E21" t="str">
        <f t="shared" si="0"/>
        <v/>
      </c>
      <c r="F21">
        <f t="shared" si="1"/>
        <v>5313.9968535784001</v>
      </c>
    </row>
    <row r="22" spans="2:6" x14ac:dyDescent="0.55000000000000004">
      <c r="B22">
        <f t="shared" si="2"/>
        <v>1</v>
      </c>
      <c r="C22" t="s">
        <v>12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23970.589676867399</v>
      </c>
      <c r="E23">
        <f t="shared" si="0"/>
        <v>23970.589676867399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5495.5147528580901</v>
      </c>
      <c r="E24" t="str">
        <f t="shared" si="0"/>
        <v/>
      </c>
      <c r="F24">
        <f t="shared" si="1"/>
        <v>5495.5147528580901</v>
      </c>
    </row>
    <row r="25" spans="2:6" x14ac:dyDescent="0.55000000000000004">
      <c r="B25">
        <f t="shared" si="2"/>
        <v>1</v>
      </c>
      <c r="C25" t="s">
        <v>40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25909.099376844999</v>
      </c>
      <c r="E26">
        <f t="shared" si="0"/>
        <v>25909.099376844999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5270.0696198585802</v>
      </c>
      <c r="E27" t="str">
        <f t="shared" si="0"/>
        <v/>
      </c>
      <c r="F27">
        <f t="shared" si="1"/>
        <v>5270.0696198585802</v>
      </c>
    </row>
    <row r="28" spans="2:6" x14ac:dyDescent="0.55000000000000004">
      <c r="B28">
        <f t="shared" si="2"/>
        <v>1</v>
      </c>
      <c r="C28" t="s">
        <v>41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25395.724466712902</v>
      </c>
      <c r="E29">
        <f t="shared" si="0"/>
        <v>25395.724466712902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5328.9565708111604</v>
      </c>
      <c r="E30" t="str">
        <f t="shared" si="0"/>
        <v/>
      </c>
      <c r="F30">
        <f t="shared" si="1"/>
        <v>5328.9565708111604</v>
      </c>
    </row>
    <row r="31" spans="2:6" x14ac:dyDescent="0.55000000000000004">
      <c r="B31">
        <f t="shared" si="2"/>
        <v>1</v>
      </c>
      <c r="C31" t="s">
        <v>42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27311.329240143001</v>
      </c>
      <c r="E32">
        <f t="shared" si="0"/>
        <v>27311.329240143001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5185.2051130323598</v>
      </c>
      <c r="E33" t="str">
        <f t="shared" si="0"/>
        <v/>
      </c>
      <c r="F33">
        <f t="shared" si="1"/>
        <v>5185.2051130323598</v>
      </c>
    </row>
    <row r="34" spans="2:6" x14ac:dyDescent="0.55000000000000004">
      <c r="B34">
        <f t="shared" si="2"/>
        <v>1</v>
      </c>
      <c r="C34" t="s">
        <v>43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27823.712426107599</v>
      </c>
      <c r="E35">
        <f t="shared" si="0"/>
        <v>27823.712426107599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5146.7451194012601</v>
      </c>
      <c r="E36" t="str">
        <f t="shared" si="0"/>
        <v/>
      </c>
      <c r="F36">
        <f t="shared" si="1"/>
        <v>5146.7451194012601</v>
      </c>
    </row>
    <row r="37" spans="2:6" x14ac:dyDescent="0.55000000000000004">
      <c r="B37">
        <f t="shared" si="2"/>
        <v>1</v>
      </c>
      <c r="C37" t="s">
        <v>44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26376.8821898061</v>
      </c>
      <c r="E38">
        <f t="shared" si="0"/>
        <v>26376.8821898061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5234.9882499627802</v>
      </c>
      <c r="E39" t="str">
        <f t="shared" si="0"/>
        <v/>
      </c>
      <c r="F39">
        <f t="shared" si="1"/>
        <v>5234.9882499627802</v>
      </c>
    </row>
    <row r="40" spans="2:6" x14ac:dyDescent="0.55000000000000004">
      <c r="B40">
        <f t="shared" si="2"/>
        <v>1</v>
      </c>
      <c r="C40" t="s">
        <v>45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24008.3503641311</v>
      </c>
      <c r="E41">
        <f t="shared" si="0"/>
        <v>24008.3503641311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5464.6096174734603</v>
      </c>
      <c r="E42" t="str">
        <f t="shared" si="0"/>
        <v/>
      </c>
      <c r="F42">
        <f t="shared" si="1"/>
        <v>5464.6096174734603</v>
      </c>
    </row>
    <row r="43" spans="2:6" x14ac:dyDescent="0.55000000000000004">
      <c r="B43">
        <f t="shared" si="2"/>
        <v>1</v>
      </c>
      <c r="C43" t="s">
        <v>46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24416.210512055499</v>
      </c>
      <c r="E44">
        <f t="shared" si="0"/>
        <v>24416.210512055499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5438.0388844273402</v>
      </c>
      <c r="E45" t="str">
        <f t="shared" si="0"/>
        <v/>
      </c>
      <c r="F45">
        <f t="shared" si="1"/>
        <v>5438.0388844273402</v>
      </c>
    </row>
    <row r="46" spans="2:6" x14ac:dyDescent="0.55000000000000004">
      <c r="B46">
        <f t="shared" si="2"/>
        <v>1</v>
      </c>
      <c r="C46" t="s">
        <v>47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23187.5516785566</v>
      </c>
      <c r="E47">
        <f t="shared" si="0"/>
        <v>23187.5516785566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5607.7899093293699</v>
      </c>
      <c r="E48" t="str">
        <f t="shared" si="0"/>
        <v/>
      </c>
      <c r="F48">
        <f t="shared" si="1"/>
        <v>5607.7899093293699</v>
      </c>
    </row>
    <row r="49" spans="2:6" x14ac:dyDescent="0.55000000000000004">
      <c r="B49">
        <f t="shared" si="2"/>
        <v>1</v>
      </c>
      <c r="C49" t="s">
        <v>20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27320.853962306101</v>
      </c>
      <c r="E50">
        <f t="shared" si="0"/>
        <v>27320.853962306101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5160.6684056016702</v>
      </c>
      <c r="E51" t="str">
        <f t="shared" si="0"/>
        <v/>
      </c>
      <c r="F51">
        <f t="shared" si="1"/>
        <v>5160.6684056016702</v>
      </c>
    </row>
    <row r="52" spans="2:6" x14ac:dyDescent="0.55000000000000004">
      <c r="B52">
        <f t="shared" si="2"/>
        <v>1</v>
      </c>
      <c r="C52" t="s">
        <v>48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28312.624641267601</v>
      </c>
      <c r="E53">
        <f t="shared" si="0"/>
        <v>28312.624641267601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5113.0110737804698</v>
      </c>
      <c r="E54" t="str">
        <f t="shared" si="0"/>
        <v/>
      </c>
      <c r="F54">
        <f t="shared" si="1"/>
        <v>5113.0110737804698</v>
      </c>
    </row>
    <row r="55" spans="2:6" x14ac:dyDescent="0.55000000000000004">
      <c r="B55">
        <f t="shared" si="2"/>
        <v>1</v>
      </c>
      <c r="C55" t="s">
        <v>49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26344.271238257799</v>
      </c>
      <c r="E56">
        <f t="shared" si="0"/>
        <v>26344.271238257799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5257.7560037314097</v>
      </c>
      <c r="E57" t="str">
        <f t="shared" si="0"/>
        <v/>
      </c>
      <c r="F57">
        <f t="shared" si="1"/>
        <v>5257.7560037314097</v>
      </c>
    </row>
    <row r="58" spans="2:6" x14ac:dyDescent="0.55000000000000004">
      <c r="B58">
        <f t="shared" si="2"/>
        <v>1</v>
      </c>
      <c r="C58" t="s">
        <v>50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23571.146622350701</v>
      </c>
      <c r="E59">
        <f t="shared" si="0"/>
        <v>23571.146622350701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5584.9072331252401</v>
      </c>
      <c r="E60" t="str">
        <f t="shared" si="0"/>
        <v/>
      </c>
      <c r="F60">
        <f t="shared" si="1"/>
        <v>5584.9072331252401</v>
      </c>
    </row>
    <row r="61" spans="2:6" x14ac:dyDescent="0.55000000000000004">
      <c r="B61">
        <f t="shared" si="2"/>
        <v>1</v>
      </c>
      <c r="C61" t="s">
        <v>51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27855.409864487701</v>
      </c>
      <c r="E62">
        <f t="shared" si="0"/>
        <v>27855.409864487701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5116.2009453065903</v>
      </c>
      <c r="E63" t="str">
        <f t="shared" si="0"/>
        <v/>
      </c>
      <c r="F63">
        <f t="shared" si="1"/>
        <v>5116.2009453065903</v>
      </c>
    </row>
    <row r="64" spans="2:6" x14ac:dyDescent="0.55000000000000004">
      <c r="B64">
        <f t="shared" si="2"/>
        <v>1</v>
      </c>
      <c r="C64" t="s">
        <v>52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26833.704967285601</v>
      </c>
      <c r="E65">
        <f t="shared" si="0"/>
        <v>26833.704967285601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5226.0342637031899</v>
      </c>
      <c r="E66" t="str">
        <f t="shared" si="0"/>
        <v/>
      </c>
      <c r="F66">
        <f t="shared" si="1"/>
        <v>5226.0342637031899</v>
      </c>
    </row>
    <row r="67" spans="2:6" x14ac:dyDescent="0.55000000000000004">
      <c r="B67">
        <f t="shared" si="2"/>
        <v>1</v>
      </c>
      <c r="C67" t="s">
        <v>53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26869.341471451698</v>
      </c>
      <c r="E68">
        <f t="shared" si="0"/>
        <v>26869.341471451698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5196.9630146152904</v>
      </c>
      <c r="E69" t="str">
        <f t="shared" ref="E69:E132" si="3">IF(B69=2,C69,"")</f>
        <v/>
      </c>
      <c r="F69">
        <f t="shared" ref="F69:F132" si="4">IF(B69=3,C69,"")</f>
        <v>5196.9630146152904</v>
      </c>
    </row>
    <row r="70" spans="2:6" x14ac:dyDescent="0.55000000000000004">
      <c r="B70">
        <f t="shared" ref="B70:B133" si="5">IF(B69&lt;3,B69+1,1)</f>
        <v>1</v>
      </c>
      <c r="C70" t="s">
        <v>23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25909.428711756998</v>
      </c>
      <c r="E71">
        <f t="shared" si="3"/>
        <v>25909.428711756998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5270.0429807528699</v>
      </c>
      <c r="E72" t="str">
        <f t="shared" si="3"/>
        <v/>
      </c>
      <c r="F72">
        <f t="shared" si="4"/>
        <v>5270.0429807528699</v>
      </c>
    </row>
    <row r="73" spans="2:6" x14ac:dyDescent="0.55000000000000004">
      <c r="B73">
        <f t="shared" si="5"/>
        <v>1</v>
      </c>
      <c r="C73" t="s">
        <v>54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24461.6401074553</v>
      </c>
      <c r="E74">
        <f t="shared" si="3"/>
        <v>24461.6401074553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5424.0943959271199</v>
      </c>
      <c r="E75" t="str">
        <f t="shared" si="3"/>
        <v/>
      </c>
      <c r="F75">
        <f t="shared" si="4"/>
        <v>5424.0943959271199</v>
      </c>
    </row>
    <row r="76" spans="2:6" x14ac:dyDescent="0.55000000000000004">
      <c r="B76">
        <f t="shared" si="5"/>
        <v>1</v>
      </c>
      <c r="C76" t="s">
        <v>55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28333.431828083601</v>
      </c>
      <c r="E77">
        <f t="shared" si="3"/>
        <v>28333.431828083601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5098.2536951596903</v>
      </c>
      <c r="E78" t="str">
        <f t="shared" si="3"/>
        <v/>
      </c>
      <c r="F78">
        <f t="shared" si="4"/>
        <v>5098.2536951596903</v>
      </c>
    </row>
    <row r="79" spans="2:6" x14ac:dyDescent="0.55000000000000004">
      <c r="B79">
        <f t="shared" si="5"/>
        <v>1</v>
      </c>
      <c r="C79" t="s">
        <v>56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23577.216560464101</v>
      </c>
      <c r="E80">
        <f t="shared" si="3"/>
        <v>23577.216560464101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5572.5667295392605</v>
      </c>
      <c r="E81" t="str">
        <f t="shared" si="3"/>
        <v/>
      </c>
      <c r="F81">
        <f t="shared" si="4"/>
        <v>5572.5667295392605</v>
      </c>
    </row>
    <row r="82" spans="2:6" x14ac:dyDescent="0.55000000000000004">
      <c r="B82">
        <f t="shared" si="5"/>
        <v>1</v>
      </c>
      <c r="C82" t="s">
        <v>57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26352.5357990991</v>
      </c>
      <c r="E83">
        <f t="shared" si="3"/>
        <v>26352.5357990991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5248.7316462868102</v>
      </c>
      <c r="E84" t="str">
        <f t="shared" si="3"/>
        <v/>
      </c>
      <c r="F84">
        <f t="shared" si="4"/>
        <v>5248.7316462868102</v>
      </c>
    </row>
    <row r="85" spans="2:6" x14ac:dyDescent="0.55000000000000004">
      <c r="B85">
        <f t="shared" si="5"/>
        <v>1</v>
      </c>
      <c r="C85" t="s">
        <v>58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28352.812236403599</v>
      </c>
      <c r="E86">
        <f t="shared" si="3"/>
        <v>28352.812236403599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5078.7238024110902</v>
      </c>
      <c r="E87" t="str">
        <f t="shared" si="3"/>
        <v/>
      </c>
      <c r="F87">
        <f t="shared" si="4"/>
        <v>5078.7238024110902</v>
      </c>
    </row>
    <row r="88" spans="2:6" x14ac:dyDescent="0.55000000000000004">
      <c r="B88">
        <f t="shared" si="5"/>
        <v>1</v>
      </c>
      <c r="C88" t="s">
        <v>59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23983.756724835599</v>
      </c>
      <c r="E89">
        <f t="shared" si="3"/>
        <v>23983.756724835599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5474.9661298225201</v>
      </c>
      <c r="E90" t="str">
        <f t="shared" si="3"/>
        <v/>
      </c>
      <c r="F90">
        <f t="shared" si="4"/>
        <v>5474.9661298225201</v>
      </c>
    </row>
    <row r="91" spans="2:6" x14ac:dyDescent="0.55000000000000004">
      <c r="B91">
        <f t="shared" si="5"/>
        <v>1</v>
      </c>
      <c r="C91" t="s">
        <v>60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23975.293294450701</v>
      </c>
      <c r="E92">
        <f t="shared" si="3"/>
        <v>23975.293294450701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5492.7702666077903</v>
      </c>
      <c r="E93" t="str">
        <f t="shared" si="3"/>
        <v/>
      </c>
      <c r="F93">
        <f t="shared" si="4"/>
        <v>5492.7702666077903</v>
      </c>
    </row>
    <row r="94" spans="2:6" x14ac:dyDescent="0.55000000000000004">
      <c r="B94">
        <f t="shared" si="5"/>
        <v>1</v>
      </c>
      <c r="C94" t="s">
        <v>61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27314.863160960202</v>
      </c>
      <c r="E95">
        <f t="shared" si="3"/>
        <v>27314.863160960202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5168.1980454929198</v>
      </c>
      <c r="E96" t="str">
        <f t="shared" si="3"/>
        <v/>
      </c>
      <c r="F96">
        <f t="shared" si="4"/>
        <v>5168.1980454929198</v>
      </c>
    </row>
    <row r="97" spans="2:6" x14ac:dyDescent="0.55000000000000004">
      <c r="B97">
        <f t="shared" si="5"/>
        <v>1</v>
      </c>
      <c r="C97" t="s">
        <v>8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26849.664175056099</v>
      </c>
      <c r="E98">
        <f t="shared" si="3"/>
        <v>26849.664175056099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5213.4084601424502</v>
      </c>
      <c r="E99" t="str">
        <f t="shared" si="3"/>
        <v/>
      </c>
      <c r="F99">
        <f t="shared" si="4"/>
        <v>5213.4084601424502</v>
      </c>
    </row>
    <row r="100" spans="2:6" x14ac:dyDescent="0.55000000000000004">
      <c r="B100">
        <f t="shared" si="5"/>
        <v>1</v>
      </c>
      <c r="C100" t="s">
        <v>62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25406.4694831335</v>
      </c>
      <c r="E101">
        <f t="shared" si="3"/>
        <v>25406.4694831335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5323.5436398474603</v>
      </c>
      <c r="E102" t="str">
        <f t="shared" si="3"/>
        <v/>
      </c>
      <c r="F102">
        <f t="shared" si="4"/>
        <v>5323.5436398474603</v>
      </c>
    </row>
    <row r="103" spans="2:6" x14ac:dyDescent="0.55000000000000004">
      <c r="B103">
        <f t="shared" si="5"/>
        <v>1</v>
      </c>
      <c r="C103" t="s">
        <v>63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26862.2843510815</v>
      </c>
      <c r="E104">
        <f t="shared" si="3"/>
        <v>26862.2843510815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5201.7432145967095</v>
      </c>
      <c r="E105" t="str">
        <f t="shared" si="3"/>
        <v/>
      </c>
      <c r="F105">
        <f t="shared" si="4"/>
        <v>5201.7432145967095</v>
      </c>
    </row>
    <row r="106" spans="2:6" x14ac:dyDescent="0.55000000000000004">
      <c r="B106">
        <f t="shared" si="5"/>
        <v>1</v>
      </c>
      <c r="C106" t="s">
        <v>64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23573.766685392198</v>
      </c>
      <c r="E107">
        <f t="shared" si="3"/>
        <v>23573.766685392198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5584.2198745371397</v>
      </c>
      <c r="E108" t="str">
        <f t="shared" si="3"/>
        <v/>
      </c>
      <c r="F108">
        <f t="shared" si="4"/>
        <v>5584.2198745371397</v>
      </c>
    </row>
    <row r="109" spans="2:6" x14ac:dyDescent="0.55000000000000004">
      <c r="B109">
        <f t="shared" si="5"/>
        <v>1</v>
      </c>
      <c r="C109" t="s">
        <v>65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27854.682353159998</v>
      </c>
      <c r="E110">
        <f t="shared" si="3"/>
        <v>27854.682353159998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5126.59149213007</v>
      </c>
      <c r="E111" t="str">
        <f t="shared" si="3"/>
        <v/>
      </c>
      <c r="F111">
        <f t="shared" si="4"/>
        <v>5126.59149213007</v>
      </c>
    </row>
    <row r="112" spans="2:6" x14ac:dyDescent="0.55000000000000004">
      <c r="B112">
        <f t="shared" si="5"/>
        <v>1</v>
      </c>
      <c r="C112" t="s">
        <v>66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26846.4547928225</v>
      </c>
      <c r="E113">
        <f t="shared" si="3"/>
        <v>26846.4547928225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5219.9507969323504</v>
      </c>
      <c r="E114" t="str">
        <f t="shared" si="3"/>
        <v/>
      </c>
      <c r="F114">
        <f t="shared" si="4"/>
        <v>5219.9507969323504</v>
      </c>
    </row>
    <row r="115" spans="2:6" x14ac:dyDescent="0.55000000000000004">
      <c r="B115">
        <f t="shared" si="5"/>
        <v>1</v>
      </c>
      <c r="C115" t="s">
        <v>67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27852.096789761901</v>
      </c>
      <c r="E116">
        <f t="shared" si="3"/>
        <v>27852.096789761901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5132.3832817591301</v>
      </c>
      <c r="E117" t="str">
        <f t="shared" si="3"/>
        <v/>
      </c>
      <c r="F117">
        <f t="shared" si="4"/>
        <v>5132.3832817591301</v>
      </c>
    </row>
    <row r="118" spans="2:6" x14ac:dyDescent="0.55000000000000004">
      <c r="B118">
        <f t="shared" si="5"/>
        <v>1</v>
      </c>
      <c r="C118" t="s">
        <v>68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24442.8611312389</v>
      </c>
      <c r="E119">
        <f t="shared" si="3"/>
        <v>24442.8611312389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5434.5087283761804</v>
      </c>
      <c r="E120" t="str">
        <f t="shared" si="3"/>
        <v/>
      </c>
      <c r="F120">
        <f t="shared" si="4"/>
        <v>5434.5087283761804</v>
      </c>
    </row>
    <row r="121" spans="2:6" x14ac:dyDescent="0.55000000000000004">
      <c r="B121">
        <f t="shared" si="5"/>
        <v>1</v>
      </c>
      <c r="C121" t="s">
        <v>69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23989.211288965002</v>
      </c>
      <c r="E122">
        <f t="shared" si="3"/>
        <v>23989.211288965002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5471.8973391260297</v>
      </c>
      <c r="E123" t="str">
        <f t="shared" si="3"/>
        <v/>
      </c>
      <c r="F123">
        <f t="shared" si="4"/>
        <v>5471.8973391260297</v>
      </c>
    </row>
    <row r="124" spans="2:6" x14ac:dyDescent="0.55000000000000004">
      <c r="B124">
        <f t="shared" si="5"/>
        <v>1</v>
      </c>
      <c r="C124" t="s">
        <v>70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si="5"/>
        <v>2</v>
      </c>
      <c r="C125">
        <v>23997.6793895554</v>
      </c>
      <c r="E125">
        <f t="shared" si="3"/>
        <v>23997.6793895554</v>
      </c>
      <c r="F125" t="str">
        <f t="shared" si="4"/>
        <v/>
      </c>
    </row>
    <row r="126" spans="2:6" x14ac:dyDescent="0.55000000000000004">
      <c r="B126">
        <f t="shared" si="5"/>
        <v>3</v>
      </c>
      <c r="C126">
        <v>5467.1050952038004</v>
      </c>
      <c r="E126" t="str">
        <f t="shared" si="3"/>
        <v/>
      </c>
      <c r="F126">
        <f t="shared" si="4"/>
        <v>5467.1050952038004</v>
      </c>
    </row>
    <row r="127" spans="2:6" x14ac:dyDescent="0.55000000000000004">
      <c r="B127">
        <f t="shared" si="5"/>
        <v>1</v>
      </c>
      <c r="C127" t="s">
        <v>7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5"/>
        <v>2</v>
      </c>
      <c r="C128">
        <v>27831.874996057599</v>
      </c>
      <c r="E128">
        <f t="shared" si="3"/>
        <v>27831.874996057599</v>
      </c>
      <c r="F128" t="str">
        <f t="shared" si="4"/>
        <v/>
      </c>
    </row>
    <row r="129" spans="2:6" x14ac:dyDescent="0.55000000000000004">
      <c r="B129">
        <f t="shared" si="5"/>
        <v>3</v>
      </c>
      <c r="C129">
        <v>5140.8195907601703</v>
      </c>
      <c r="E129" t="str">
        <f t="shared" si="3"/>
        <v/>
      </c>
      <c r="F129">
        <f t="shared" si="4"/>
        <v>5140.8195907601703</v>
      </c>
    </row>
    <row r="130" spans="2:6" x14ac:dyDescent="0.55000000000000004">
      <c r="B130">
        <f t="shared" si="5"/>
        <v>1</v>
      </c>
      <c r="C130" t="s">
        <v>71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5"/>
        <v>2</v>
      </c>
      <c r="C131">
        <v>24447.420746249201</v>
      </c>
      <c r="E131">
        <f t="shared" si="3"/>
        <v>24447.420746249201</v>
      </c>
      <c r="F131" t="str">
        <f t="shared" si="4"/>
        <v/>
      </c>
    </row>
    <row r="132" spans="2:6" x14ac:dyDescent="0.55000000000000004">
      <c r="B132">
        <f t="shared" si="5"/>
        <v>3</v>
      </c>
      <c r="C132">
        <v>5429.0526345927201</v>
      </c>
      <c r="E132" t="str">
        <f t="shared" si="3"/>
        <v/>
      </c>
      <c r="F132">
        <f t="shared" si="4"/>
        <v>5429.0526345927201</v>
      </c>
    </row>
    <row r="133" spans="2:6" x14ac:dyDescent="0.55000000000000004">
      <c r="B133">
        <f t="shared" si="5"/>
        <v>1</v>
      </c>
      <c r="C133" t="s">
        <v>72</v>
      </c>
      <c r="E133" t="str">
        <f t="shared" ref="E133:E165" si="6">IF(B133=2,C133,"")</f>
        <v/>
      </c>
      <c r="F133" t="str">
        <f t="shared" ref="F133:F165" si="7">IF(B133=3,C133,"")</f>
        <v/>
      </c>
    </row>
    <row r="134" spans="2:6" x14ac:dyDescent="0.55000000000000004">
      <c r="B134">
        <f t="shared" ref="B134:B165" si="8">IF(B133&lt;3,B133+1,1)</f>
        <v>2</v>
      </c>
      <c r="C134">
        <v>27318.894226025201</v>
      </c>
      <c r="E134">
        <f t="shared" si="6"/>
        <v>27318.894226025201</v>
      </c>
      <c r="F134" t="str">
        <f t="shared" si="7"/>
        <v/>
      </c>
    </row>
    <row r="135" spans="2:6" x14ac:dyDescent="0.55000000000000004">
      <c r="B135">
        <f t="shared" si="8"/>
        <v>3</v>
      </c>
      <c r="C135">
        <v>5164.44306927445</v>
      </c>
      <c r="E135" t="str">
        <f t="shared" si="6"/>
        <v/>
      </c>
      <c r="F135">
        <f t="shared" si="7"/>
        <v>5164.44306927445</v>
      </c>
    </row>
    <row r="136" spans="2:6" x14ac:dyDescent="0.55000000000000004">
      <c r="B136">
        <f t="shared" si="8"/>
        <v>1</v>
      </c>
      <c r="C136" t="s">
        <v>73</v>
      </c>
      <c r="E136" t="str">
        <f t="shared" si="6"/>
        <v/>
      </c>
      <c r="F136" t="str">
        <f t="shared" si="7"/>
        <v/>
      </c>
    </row>
    <row r="137" spans="2:6" x14ac:dyDescent="0.55000000000000004">
      <c r="B137">
        <f t="shared" si="8"/>
        <v>2</v>
      </c>
      <c r="C137">
        <v>26842.867311664599</v>
      </c>
      <c r="E137">
        <f t="shared" si="6"/>
        <v>26842.867311664599</v>
      </c>
      <c r="F137" t="str">
        <f t="shared" si="7"/>
        <v/>
      </c>
    </row>
    <row r="138" spans="2:6" x14ac:dyDescent="0.55000000000000004">
      <c r="B138">
        <f t="shared" si="8"/>
        <v>3</v>
      </c>
      <c r="C138">
        <v>5224.1743016799501</v>
      </c>
      <c r="E138" t="str">
        <f t="shared" si="6"/>
        <v/>
      </c>
      <c r="F138">
        <f t="shared" si="7"/>
        <v>5224.1743016799501</v>
      </c>
    </row>
    <row r="139" spans="2:6" x14ac:dyDescent="0.55000000000000004">
      <c r="B139">
        <f t="shared" si="8"/>
        <v>1</v>
      </c>
      <c r="C139" t="s">
        <v>74</v>
      </c>
      <c r="E139" t="str">
        <f t="shared" si="6"/>
        <v/>
      </c>
      <c r="F139" t="str">
        <f t="shared" si="7"/>
        <v/>
      </c>
    </row>
    <row r="140" spans="2:6" x14ac:dyDescent="0.55000000000000004">
      <c r="B140">
        <f t="shared" si="8"/>
        <v>2</v>
      </c>
      <c r="C140">
        <v>27844.6326276496</v>
      </c>
      <c r="E140">
        <f t="shared" si="6"/>
        <v>27844.6326276496</v>
      </c>
      <c r="F140" t="str">
        <f t="shared" si="7"/>
        <v/>
      </c>
    </row>
    <row r="141" spans="2:6" x14ac:dyDescent="0.55000000000000004">
      <c r="B141">
        <f t="shared" si="8"/>
        <v>3</v>
      </c>
      <c r="C141">
        <v>5138.2781693854004</v>
      </c>
      <c r="E141" t="str">
        <f t="shared" si="6"/>
        <v/>
      </c>
      <c r="F141">
        <f t="shared" si="7"/>
        <v>5138.2781693854004</v>
      </c>
    </row>
    <row r="142" spans="2:6" x14ac:dyDescent="0.55000000000000004">
      <c r="B142">
        <f t="shared" si="8"/>
        <v>1</v>
      </c>
      <c r="C142" t="s">
        <v>75</v>
      </c>
      <c r="E142" t="str">
        <f t="shared" si="6"/>
        <v/>
      </c>
      <c r="F142" t="str">
        <f t="shared" si="7"/>
        <v/>
      </c>
    </row>
    <row r="143" spans="2:6" x14ac:dyDescent="0.55000000000000004">
      <c r="B143">
        <f t="shared" si="8"/>
        <v>2</v>
      </c>
      <c r="C143">
        <v>24458.9216966104</v>
      </c>
      <c r="E143">
        <f t="shared" si="6"/>
        <v>24458.9216966104</v>
      </c>
      <c r="F143" t="str">
        <f t="shared" si="7"/>
        <v/>
      </c>
    </row>
    <row r="144" spans="2:6" x14ac:dyDescent="0.55000000000000004">
      <c r="B144">
        <f t="shared" si="8"/>
        <v>3</v>
      </c>
      <c r="C144">
        <v>5427.9732558083997</v>
      </c>
      <c r="E144" t="str">
        <f t="shared" si="6"/>
        <v/>
      </c>
      <c r="F144">
        <f t="shared" si="7"/>
        <v>5427.9732558083997</v>
      </c>
    </row>
    <row r="145" spans="2:6" x14ac:dyDescent="0.55000000000000004">
      <c r="B145">
        <f t="shared" si="8"/>
        <v>1</v>
      </c>
      <c r="C145" t="s">
        <v>76</v>
      </c>
      <c r="E145" t="str">
        <f t="shared" si="6"/>
        <v/>
      </c>
      <c r="F145" t="str">
        <f t="shared" si="7"/>
        <v/>
      </c>
    </row>
    <row r="146" spans="2:6" x14ac:dyDescent="0.55000000000000004">
      <c r="B146">
        <f t="shared" si="8"/>
        <v>2</v>
      </c>
      <c r="C146">
        <v>24426.684372542299</v>
      </c>
      <c r="E146">
        <f t="shared" si="6"/>
        <v>24426.684372542299</v>
      </c>
      <c r="F146" t="str">
        <f t="shared" si="7"/>
        <v/>
      </c>
    </row>
    <row r="147" spans="2:6" x14ac:dyDescent="0.55000000000000004">
      <c r="B147">
        <f t="shared" si="8"/>
        <v>3</v>
      </c>
      <c r="C147">
        <v>5436.66173408344</v>
      </c>
      <c r="E147" t="str">
        <f t="shared" si="6"/>
        <v/>
      </c>
      <c r="F147">
        <f t="shared" si="7"/>
        <v>5436.66173408344</v>
      </c>
    </row>
    <row r="148" spans="2:6" x14ac:dyDescent="0.55000000000000004">
      <c r="B148">
        <f t="shared" si="8"/>
        <v>1</v>
      </c>
      <c r="C148" t="s">
        <v>77</v>
      </c>
      <c r="E148" t="str">
        <f t="shared" si="6"/>
        <v/>
      </c>
      <c r="F148" t="str">
        <f t="shared" si="7"/>
        <v/>
      </c>
    </row>
    <row r="149" spans="2:6" x14ac:dyDescent="0.55000000000000004">
      <c r="B149">
        <f t="shared" si="8"/>
        <v>2</v>
      </c>
      <c r="C149">
        <v>27853.046762012302</v>
      </c>
      <c r="E149">
        <f t="shared" si="6"/>
        <v>27853.046762012302</v>
      </c>
      <c r="F149" t="str">
        <f t="shared" si="7"/>
        <v/>
      </c>
    </row>
    <row r="150" spans="2:6" x14ac:dyDescent="0.55000000000000004">
      <c r="B150">
        <f t="shared" si="8"/>
        <v>3</v>
      </c>
      <c r="C150">
        <v>5128.6302878822298</v>
      </c>
      <c r="E150" t="str">
        <f t="shared" si="6"/>
        <v/>
      </c>
      <c r="F150">
        <f t="shared" si="7"/>
        <v>5128.6302878822298</v>
      </c>
    </row>
    <row r="151" spans="2:6" x14ac:dyDescent="0.55000000000000004">
      <c r="B151">
        <f t="shared" si="8"/>
        <v>1</v>
      </c>
      <c r="C151" t="s">
        <v>78</v>
      </c>
      <c r="E151" t="str">
        <f t="shared" si="6"/>
        <v/>
      </c>
      <c r="F151" t="str">
        <f t="shared" si="7"/>
        <v/>
      </c>
    </row>
    <row r="152" spans="2:6" x14ac:dyDescent="0.55000000000000004">
      <c r="B152">
        <f t="shared" si="8"/>
        <v>2</v>
      </c>
      <c r="C152">
        <v>26862.958883692401</v>
      </c>
      <c r="E152">
        <f t="shared" si="6"/>
        <v>26862.958883692401</v>
      </c>
      <c r="F152" t="str">
        <f t="shared" si="7"/>
        <v/>
      </c>
    </row>
    <row r="153" spans="2:6" x14ac:dyDescent="0.55000000000000004">
      <c r="B153">
        <f t="shared" si="8"/>
        <v>3</v>
      </c>
      <c r="C153">
        <v>5197.3762111903698</v>
      </c>
      <c r="E153" t="str">
        <f t="shared" si="6"/>
        <v/>
      </c>
      <c r="F153">
        <f t="shared" si="7"/>
        <v>5197.3762111903698</v>
      </c>
    </row>
    <row r="154" spans="2:6" x14ac:dyDescent="0.55000000000000004">
      <c r="B154">
        <f t="shared" si="8"/>
        <v>1</v>
      </c>
      <c r="C154" t="s">
        <v>79</v>
      </c>
      <c r="E154" t="str">
        <f t="shared" si="6"/>
        <v/>
      </c>
      <c r="F154" t="str">
        <f t="shared" si="7"/>
        <v/>
      </c>
    </row>
    <row r="155" spans="2:6" x14ac:dyDescent="0.55000000000000004">
      <c r="B155">
        <f t="shared" si="8"/>
        <v>2</v>
      </c>
      <c r="C155">
        <v>28353.849238534101</v>
      </c>
      <c r="E155">
        <f t="shared" si="6"/>
        <v>28353.849238534101</v>
      </c>
      <c r="F155" t="str">
        <f t="shared" si="7"/>
        <v/>
      </c>
    </row>
    <row r="156" spans="2:6" x14ac:dyDescent="0.55000000000000004">
      <c r="B156">
        <f t="shared" si="8"/>
        <v>3</v>
      </c>
      <c r="C156">
        <v>5077.5607845899804</v>
      </c>
      <c r="E156" t="str">
        <f t="shared" si="6"/>
        <v/>
      </c>
      <c r="F156">
        <f t="shared" si="7"/>
        <v>5077.5607845899804</v>
      </c>
    </row>
    <row r="157" spans="2:6" x14ac:dyDescent="0.55000000000000004">
      <c r="B157">
        <f t="shared" si="8"/>
        <v>1</v>
      </c>
      <c r="C157" t="s">
        <v>80</v>
      </c>
      <c r="E157" t="str">
        <f t="shared" si="6"/>
        <v/>
      </c>
      <c r="F157" t="str">
        <f t="shared" si="7"/>
        <v/>
      </c>
    </row>
    <row r="158" spans="2:6" x14ac:dyDescent="0.55000000000000004">
      <c r="B158">
        <f t="shared" si="8"/>
        <v>2</v>
      </c>
      <c r="C158">
        <v>27834.121534968301</v>
      </c>
      <c r="E158">
        <f t="shared" si="6"/>
        <v>27834.121534968301</v>
      </c>
      <c r="F158" t="str">
        <f t="shared" si="7"/>
        <v/>
      </c>
    </row>
    <row r="159" spans="2:6" x14ac:dyDescent="0.55000000000000004">
      <c r="B159">
        <f t="shared" si="8"/>
        <v>3</v>
      </c>
      <c r="C159">
        <v>5139.0120883969303</v>
      </c>
      <c r="E159" t="str">
        <f t="shared" si="6"/>
        <v/>
      </c>
      <c r="F159">
        <f t="shared" si="7"/>
        <v>5139.0120883969303</v>
      </c>
    </row>
    <row r="160" spans="2:6" x14ac:dyDescent="0.55000000000000004">
      <c r="B160">
        <f t="shared" si="8"/>
        <v>1</v>
      </c>
      <c r="C160" t="s">
        <v>81</v>
      </c>
      <c r="E160" t="str">
        <f t="shared" si="6"/>
        <v/>
      </c>
      <c r="F160" t="str">
        <f t="shared" si="7"/>
        <v/>
      </c>
    </row>
    <row r="161" spans="2:6" x14ac:dyDescent="0.55000000000000004">
      <c r="B161">
        <f t="shared" si="8"/>
        <v>2</v>
      </c>
      <c r="C161">
        <v>27844.108797840199</v>
      </c>
      <c r="E161">
        <f t="shared" si="6"/>
        <v>27844.108797840199</v>
      </c>
      <c r="F161" t="str">
        <f t="shared" si="7"/>
        <v/>
      </c>
    </row>
    <row r="162" spans="2:6" x14ac:dyDescent="0.55000000000000004">
      <c r="B162">
        <f t="shared" si="8"/>
        <v>3</v>
      </c>
      <c r="C162">
        <v>5138.46931571802</v>
      </c>
      <c r="E162" t="str">
        <f t="shared" si="6"/>
        <v/>
      </c>
      <c r="F162">
        <f t="shared" si="7"/>
        <v>5138.46931571802</v>
      </c>
    </row>
    <row r="163" spans="2:6" x14ac:dyDescent="0.55000000000000004">
      <c r="B163">
        <f t="shared" si="8"/>
        <v>1</v>
      </c>
      <c r="C163" t="s">
        <v>82</v>
      </c>
      <c r="E163" t="str">
        <f t="shared" si="6"/>
        <v/>
      </c>
      <c r="F163" t="str">
        <f t="shared" si="7"/>
        <v/>
      </c>
    </row>
    <row r="164" spans="2:6" x14ac:dyDescent="0.55000000000000004">
      <c r="B164">
        <f t="shared" si="8"/>
        <v>2</v>
      </c>
      <c r="C164">
        <v>26868.6752027451</v>
      </c>
      <c r="E164">
        <f t="shared" si="6"/>
        <v>26868.6752027451</v>
      </c>
      <c r="F164" t="str">
        <f t="shared" si="7"/>
        <v/>
      </c>
    </row>
    <row r="165" spans="2:6" x14ac:dyDescent="0.55000000000000004">
      <c r="B165">
        <f t="shared" si="8"/>
        <v>3</v>
      </c>
      <c r="C165">
        <v>5197.1576265719696</v>
      </c>
      <c r="E165" t="str">
        <f t="shared" si="6"/>
        <v/>
      </c>
      <c r="F165">
        <f t="shared" si="7"/>
        <v>5197.1576265719696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EA04-5530-4DF6-9415-CD1C2E52C55A}">
  <dimension ref="A1:DG114"/>
  <sheetViews>
    <sheetView workbookViewId="0">
      <selection activeCell="H4" sqref="H4:L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11" x14ac:dyDescent="0.55000000000000004">
      <c r="A1" t="s">
        <v>83</v>
      </c>
      <c r="B1">
        <v>30006.416009468699</v>
      </c>
      <c r="C1">
        <v>4602.7486042668397</v>
      </c>
      <c r="D1" t="s">
        <v>84</v>
      </c>
      <c r="E1">
        <v>22577.0206176553</v>
      </c>
      <c r="F1">
        <v>5377.4701552219603</v>
      </c>
      <c r="G1" t="s">
        <v>85</v>
      </c>
      <c r="H1">
        <v>26552.651619418401</v>
      </c>
      <c r="I1">
        <v>4869.03922860695</v>
      </c>
      <c r="J1" t="s">
        <v>86</v>
      </c>
      <c r="K1">
        <v>25325.4049785713</v>
      </c>
      <c r="L1">
        <v>5045.6348821761003</v>
      </c>
      <c r="M1" t="s">
        <v>87</v>
      </c>
      <c r="N1">
        <v>29498.342220044</v>
      </c>
      <c r="O1">
        <v>4652.3080417064002</v>
      </c>
      <c r="P1" t="s">
        <v>88</v>
      </c>
      <c r="Q1">
        <v>27533.022569280201</v>
      </c>
      <c r="R1">
        <v>4806.0490248911501</v>
      </c>
      <c r="S1" t="s">
        <v>89</v>
      </c>
      <c r="T1">
        <v>23684.012594672298</v>
      </c>
      <c r="U1">
        <v>5255.79094718334</v>
      </c>
      <c r="V1" t="s">
        <v>90</v>
      </c>
      <c r="W1">
        <v>25303.564145677399</v>
      </c>
      <c r="X1">
        <v>5114.1450174996899</v>
      </c>
      <c r="Y1" t="s">
        <v>91</v>
      </c>
      <c r="Z1">
        <v>27969.965618625902</v>
      </c>
      <c r="AA1">
        <v>4748.98748042441</v>
      </c>
      <c r="AB1" t="s">
        <v>92</v>
      </c>
      <c r="AC1">
        <v>23124.9967368658</v>
      </c>
      <c r="AD1">
        <v>5275.6135742407896</v>
      </c>
      <c r="AE1" t="s">
        <v>93</v>
      </c>
      <c r="AF1">
        <v>24326.777444977401</v>
      </c>
      <c r="AG1">
        <v>5176.3507641284796</v>
      </c>
      <c r="AH1" t="s">
        <v>25</v>
      </c>
      <c r="AI1">
        <v>26989.839520064099</v>
      </c>
      <c r="AJ1">
        <v>4839.70153056039</v>
      </c>
      <c r="AK1" t="s">
        <v>94</v>
      </c>
      <c r="AL1">
        <v>29042.788331237101</v>
      </c>
      <c r="AM1">
        <v>4665.7691882383397</v>
      </c>
      <c r="AN1" t="s">
        <v>95</v>
      </c>
      <c r="AO1">
        <v>22657.757720326601</v>
      </c>
      <c r="AP1">
        <v>5344.5906863732598</v>
      </c>
      <c r="AQ1" t="s">
        <v>96</v>
      </c>
      <c r="AR1">
        <v>23751.613059035801</v>
      </c>
      <c r="AS1">
        <v>5191.74555965527</v>
      </c>
      <c r="AT1" t="s">
        <v>97</v>
      </c>
      <c r="AU1">
        <v>28581.4822930011</v>
      </c>
      <c r="AV1">
        <v>4715.1515813380702</v>
      </c>
      <c r="AW1" t="s">
        <v>98</v>
      </c>
      <c r="AX1">
        <v>23807.469663023199</v>
      </c>
      <c r="AY1">
        <v>5190.7357645465099</v>
      </c>
      <c r="AZ1" t="s">
        <v>99</v>
      </c>
      <c r="BA1">
        <v>29031.360215683999</v>
      </c>
      <c r="BB1">
        <v>4693.2891956602498</v>
      </c>
      <c r="BC1" t="s">
        <v>32</v>
      </c>
      <c r="BD1">
        <v>27016.8194610475</v>
      </c>
      <c r="BE1">
        <v>4807.2730532677197</v>
      </c>
      <c r="BF1" t="s">
        <v>100</v>
      </c>
      <c r="BG1">
        <v>24819.816183932599</v>
      </c>
      <c r="BH1">
        <v>5126.1341985337203</v>
      </c>
      <c r="BI1" t="s">
        <v>101</v>
      </c>
      <c r="BJ1">
        <v>24806.748612483399</v>
      </c>
      <c r="BK1">
        <v>5131.0572295421498</v>
      </c>
      <c r="BL1" t="s">
        <v>102</v>
      </c>
      <c r="BM1">
        <v>24344.307678589699</v>
      </c>
      <c r="BN1">
        <v>5140.7672231351999</v>
      </c>
      <c r="BO1" t="s">
        <v>103</v>
      </c>
      <c r="BP1">
        <v>23073.849272779102</v>
      </c>
      <c r="BQ1">
        <v>5299.4295212357501</v>
      </c>
      <c r="BR1" t="s">
        <v>104</v>
      </c>
      <c r="BS1">
        <v>28055.071286747701</v>
      </c>
      <c r="BT1">
        <v>4729.9472102957297</v>
      </c>
      <c r="BU1" t="s">
        <v>105</v>
      </c>
      <c r="BV1">
        <v>23039.8482784642</v>
      </c>
      <c r="BW1">
        <v>5333.6108894963099</v>
      </c>
      <c r="BX1" t="s">
        <v>106</v>
      </c>
      <c r="BY1">
        <v>28499.512089591699</v>
      </c>
      <c r="BZ1">
        <v>4724.3289316494202</v>
      </c>
      <c r="CA1" t="s">
        <v>107</v>
      </c>
      <c r="CB1">
        <v>22647.934982132399</v>
      </c>
      <c r="CC1">
        <v>5372.8722418305497</v>
      </c>
      <c r="CD1" t="s">
        <v>108</v>
      </c>
      <c r="CE1">
        <v>23053.681010560202</v>
      </c>
      <c r="CF1">
        <v>5330.1835749725496</v>
      </c>
      <c r="CG1" t="s">
        <v>109</v>
      </c>
      <c r="CH1">
        <v>24340.743704753801</v>
      </c>
      <c r="CI1">
        <v>5146.1251373628402</v>
      </c>
      <c r="CJ1" t="s">
        <v>110</v>
      </c>
      <c r="CK1">
        <v>26990.7136192578</v>
      </c>
      <c r="CL1">
        <v>4820.0839594868203</v>
      </c>
      <c r="CM1" t="s">
        <v>111</v>
      </c>
      <c r="CN1">
        <v>29036.317032873001</v>
      </c>
      <c r="CO1">
        <v>4688.4616742733597</v>
      </c>
      <c r="CP1" t="s">
        <v>112</v>
      </c>
      <c r="CQ1">
        <v>27970.4734216861</v>
      </c>
      <c r="CR1">
        <v>4743.9659012235397</v>
      </c>
      <c r="CS1" t="s">
        <v>113</v>
      </c>
      <c r="CT1">
        <v>28563.0163653161</v>
      </c>
      <c r="CU1">
        <v>4720.1555173976803</v>
      </c>
      <c r="CV1" t="s">
        <v>114</v>
      </c>
      <c r="CW1">
        <v>28024.685050229498</v>
      </c>
      <c r="CX1">
        <v>4739.8399351513599</v>
      </c>
      <c r="CY1" t="s">
        <v>115</v>
      </c>
      <c r="CZ1">
        <v>28528.5408012847</v>
      </c>
      <c r="DA1">
        <v>4723.8329490707501</v>
      </c>
      <c r="DB1" t="s">
        <v>116</v>
      </c>
      <c r="DC1">
        <v>28052.1321180491</v>
      </c>
      <c r="DD1">
        <v>4734.9133250016203</v>
      </c>
      <c r="DE1" t="s">
        <v>117</v>
      </c>
      <c r="DF1">
        <v>28050.862385507298</v>
      </c>
      <c r="DG1">
        <v>4738.6832685429299</v>
      </c>
    </row>
    <row r="3" spans="1:111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111" x14ac:dyDescent="0.55000000000000004">
      <c r="B4">
        <f>1</f>
        <v>1</v>
      </c>
      <c r="C4" t="s">
        <v>83</v>
      </c>
      <c r="E4" t="str">
        <f>IF(B4=2,C4,"")</f>
        <v/>
      </c>
      <c r="F4" t="str">
        <f>IF(B4=3,C4,"")</f>
        <v/>
      </c>
      <c r="H4">
        <f>MIN(E4:E123)</f>
        <v>22577.0206176553</v>
      </c>
      <c r="I4">
        <f>MAX(E4:E123)</f>
        <v>30006.416009468699</v>
      </c>
      <c r="J4">
        <f>MIN(F4:F123)</f>
        <v>4602.7486042668397</v>
      </c>
      <c r="K4">
        <f>MAX(F4:F123)</f>
        <v>5377.4701552219603</v>
      </c>
      <c r="L4">
        <f>SUMIF(B4:B123,1)</f>
        <v>37</v>
      </c>
    </row>
    <row r="5" spans="1:111" x14ac:dyDescent="0.55000000000000004">
      <c r="B5">
        <f>IF(B4&lt;3,B4+1,1)</f>
        <v>2</v>
      </c>
      <c r="C5">
        <v>30006.416009468699</v>
      </c>
      <c r="E5">
        <f t="shared" ref="E5:E68" si="0">IF(B5=2,C5,"")</f>
        <v>30006.416009468699</v>
      </c>
      <c r="F5" t="str">
        <f t="shared" ref="F5:F68" si="1">IF(B5=3,C5,"")</f>
        <v/>
      </c>
    </row>
    <row r="6" spans="1:111" x14ac:dyDescent="0.55000000000000004">
      <c r="B6">
        <f t="shared" ref="B6:B69" si="2">IF(B5&lt;3,B5+1,1)</f>
        <v>3</v>
      </c>
      <c r="C6">
        <v>4602.7486042668397</v>
      </c>
      <c r="E6" t="str">
        <f t="shared" si="0"/>
        <v/>
      </c>
      <c r="F6">
        <f t="shared" si="1"/>
        <v>4602.7486042668397</v>
      </c>
    </row>
    <row r="7" spans="1:111" x14ac:dyDescent="0.55000000000000004">
      <c r="B7">
        <f t="shared" si="2"/>
        <v>1</v>
      </c>
      <c r="C7" t="s">
        <v>84</v>
      </c>
      <c r="E7" t="str">
        <f t="shared" si="0"/>
        <v/>
      </c>
      <c r="F7" t="str">
        <f t="shared" si="1"/>
        <v/>
      </c>
    </row>
    <row r="8" spans="1:111" x14ac:dyDescent="0.55000000000000004">
      <c r="B8">
        <f t="shared" si="2"/>
        <v>2</v>
      </c>
      <c r="C8">
        <v>22577.0206176553</v>
      </c>
      <c r="E8">
        <f t="shared" si="0"/>
        <v>22577.0206176553</v>
      </c>
      <c r="F8" t="str">
        <f t="shared" si="1"/>
        <v/>
      </c>
    </row>
    <row r="9" spans="1:111" x14ac:dyDescent="0.55000000000000004">
      <c r="B9">
        <f t="shared" si="2"/>
        <v>3</v>
      </c>
      <c r="C9">
        <v>5377.4701552219603</v>
      </c>
      <c r="E9" t="str">
        <f t="shared" si="0"/>
        <v/>
      </c>
      <c r="F9">
        <f t="shared" si="1"/>
        <v>5377.4701552219603</v>
      </c>
    </row>
    <row r="10" spans="1:111" x14ac:dyDescent="0.55000000000000004">
      <c r="B10">
        <f t="shared" si="2"/>
        <v>1</v>
      </c>
      <c r="C10" t="s">
        <v>85</v>
      </c>
      <c r="E10" t="str">
        <f t="shared" si="0"/>
        <v/>
      </c>
      <c r="F10" t="str">
        <f t="shared" si="1"/>
        <v/>
      </c>
    </row>
    <row r="11" spans="1:111" x14ac:dyDescent="0.55000000000000004">
      <c r="B11">
        <f t="shared" si="2"/>
        <v>2</v>
      </c>
      <c r="C11">
        <v>26552.651619418401</v>
      </c>
      <c r="E11">
        <f t="shared" si="0"/>
        <v>26552.651619418401</v>
      </c>
      <c r="F11" t="str">
        <f t="shared" si="1"/>
        <v/>
      </c>
    </row>
    <row r="12" spans="1:111" x14ac:dyDescent="0.55000000000000004">
      <c r="B12">
        <f t="shared" si="2"/>
        <v>3</v>
      </c>
      <c r="C12">
        <v>4869.03922860695</v>
      </c>
      <c r="E12" t="str">
        <f t="shared" si="0"/>
        <v/>
      </c>
      <c r="F12">
        <f t="shared" si="1"/>
        <v>4869.03922860695</v>
      </c>
    </row>
    <row r="13" spans="1:111" x14ac:dyDescent="0.55000000000000004">
      <c r="B13">
        <f t="shared" si="2"/>
        <v>1</v>
      </c>
      <c r="C13" t="s">
        <v>86</v>
      </c>
      <c r="E13" t="str">
        <f t="shared" si="0"/>
        <v/>
      </c>
      <c r="F13" t="str">
        <f t="shared" si="1"/>
        <v/>
      </c>
    </row>
    <row r="14" spans="1:111" x14ac:dyDescent="0.55000000000000004">
      <c r="B14">
        <f t="shared" si="2"/>
        <v>2</v>
      </c>
      <c r="C14">
        <v>25325.4049785713</v>
      </c>
      <c r="E14">
        <f t="shared" si="0"/>
        <v>25325.4049785713</v>
      </c>
      <c r="F14" t="str">
        <f t="shared" si="1"/>
        <v/>
      </c>
    </row>
    <row r="15" spans="1:111" x14ac:dyDescent="0.55000000000000004">
      <c r="B15">
        <f t="shared" si="2"/>
        <v>3</v>
      </c>
      <c r="C15">
        <v>5045.6348821761003</v>
      </c>
      <c r="E15" t="str">
        <f t="shared" si="0"/>
        <v/>
      </c>
      <c r="F15">
        <f t="shared" si="1"/>
        <v>5045.6348821761003</v>
      </c>
    </row>
    <row r="16" spans="1:111" x14ac:dyDescent="0.55000000000000004">
      <c r="B16">
        <f t="shared" si="2"/>
        <v>1</v>
      </c>
      <c r="C16" t="s">
        <v>87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29498.342220044</v>
      </c>
      <c r="E17">
        <f t="shared" si="0"/>
        <v>29498.342220044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4652.3080417064002</v>
      </c>
      <c r="E18" t="str">
        <f t="shared" si="0"/>
        <v/>
      </c>
      <c r="F18">
        <f t="shared" si="1"/>
        <v>4652.3080417064002</v>
      </c>
    </row>
    <row r="19" spans="2:6" x14ac:dyDescent="0.55000000000000004">
      <c r="B19">
        <f t="shared" si="2"/>
        <v>1</v>
      </c>
      <c r="C19" t="s">
        <v>88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27533.022569280201</v>
      </c>
      <c r="E20">
        <f t="shared" si="0"/>
        <v>27533.022569280201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4806.0490248911501</v>
      </c>
      <c r="E21" t="str">
        <f t="shared" si="0"/>
        <v/>
      </c>
      <c r="F21">
        <f t="shared" si="1"/>
        <v>4806.0490248911501</v>
      </c>
    </row>
    <row r="22" spans="2:6" x14ac:dyDescent="0.55000000000000004">
      <c r="B22">
        <f t="shared" si="2"/>
        <v>1</v>
      </c>
      <c r="C22" t="s">
        <v>89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23684.012594672298</v>
      </c>
      <c r="E23">
        <f t="shared" si="0"/>
        <v>23684.012594672298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5255.79094718334</v>
      </c>
      <c r="E24" t="str">
        <f t="shared" si="0"/>
        <v/>
      </c>
      <c r="F24">
        <f t="shared" si="1"/>
        <v>5255.79094718334</v>
      </c>
    </row>
    <row r="25" spans="2:6" x14ac:dyDescent="0.55000000000000004">
      <c r="B25">
        <f t="shared" si="2"/>
        <v>1</v>
      </c>
      <c r="C25" t="s">
        <v>90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25303.564145677399</v>
      </c>
      <c r="E26">
        <f t="shared" si="0"/>
        <v>25303.564145677399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5114.1450174996899</v>
      </c>
      <c r="E27" t="str">
        <f t="shared" si="0"/>
        <v/>
      </c>
      <c r="F27">
        <f t="shared" si="1"/>
        <v>5114.1450174996899</v>
      </c>
    </row>
    <row r="28" spans="2:6" x14ac:dyDescent="0.55000000000000004">
      <c r="B28">
        <f t="shared" si="2"/>
        <v>1</v>
      </c>
      <c r="C28" t="s">
        <v>91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27969.965618625902</v>
      </c>
      <c r="E29">
        <f t="shared" si="0"/>
        <v>27969.965618625902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4748.98748042441</v>
      </c>
      <c r="E30" t="str">
        <f t="shared" si="0"/>
        <v/>
      </c>
      <c r="F30">
        <f t="shared" si="1"/>
        <v>4748.98748042441</v>
      </c>
    </row>
    <row r="31" spans="2:6" x14ac:dyDescent="0.55000000000000004">
      <c r="B31">
        <f t="shared" si="2"/>
        <v>1</v>
      </c>
      <c r="C31" t="s">
        <v>92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23124.9967368658</v>
      </c>
      <c r="E32">
        <f t="shared" si="0"/>
        <v>23124.9967368658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5275.6135742407896</v>
      </c>
      <c r="E33" t="str">
        <f t="shared" si="0"/>
        <v/>
      </c>
      <c r="F33">
        <f t="shared" si="1"/>
        <v>5275.6135742407896</v>
      </c>
    </row>
    <row r="34" spans="2:6" x14ac:dyDescent="0.55000000000000004">
      <c r="B34">
        <f t="shared" si="2"/>
        <v>1</v>
      </c>
      <c r="C34" t="s">
        <v>93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24326.777444977401</v>
      </c>
      <c r="E35">
        <f t="shared" si="0"/>
        <v>24326.777444977401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5176.3507641284796</v>
      </c>
      <c r="E36" t="str">
        <f t="shared" si="0"/>
        <v/>
      </c>
      <c r="F36">
        <f t="shared" si="1"/>
        <v>5176.3507641284796</v>
      </c>
    </row>
    <row r="37" spans="2:6" x14ac:dyDescent="0.55000000000000004">
      <c r="B37">
        <f t="shared" si="2"/>
        <v>1</v>
      </c>
      <c r="C37" t="s">
        <v>25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26989.839520064099</v>
      </c>
      <c r="E38">
        <f t="shared" si="0"/>
        <v>26989.839520064099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4839.70153056039</v>
      </c>
      <c r="E39" t="str">
        <f t="shared" si="0"/>
        <v/>
      </c>
      <c r="F39">
        <f t="shared" si="1"/>
        <v>4839.70153056039</v>
      </c>
    </row>
    <row r="40" spans="2:6" x14ac:dyDescent="0.55000000000000004">
      <c r="B40">
        <f t="shared" si="2"/>
        <v>1</v>
      </c>
      <c r="C40" t="s">
        <v>94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29042.788331237101</v>
      </c>
      <c r="E41">
        <f t="shared" si="0"/>
        <v>29042.788331237101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4665.7691882383397</v>
      </c>
      <c r="E42" t="str">
        <f t="shared" si="0"/>
        <v/>
      </c>
      <c r="F42">
        <f t="shared" si="1"/>
        <v>4665.7691882383397</v>
      </c>
    </row>
    <row r="43" spans="2:6" x14ac:dyDescent="0.55000000000000004">
      <c r="B43">
        <f t="shared" si="2"/>
        <v>1</v>
      </c>
      <c r="C43" t="s">
        <v>95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22657.757720326601</v>
      </c>
      <c r="E44">
        <f t="shared" si="0"/>
        <v>22657.757720326601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5344.5906863732598</v>
      </c>
      <c r="E45" t="str">
        <f t="shared" si="0"/>
        <v/>
      </c>
      <c r="F45">
        <f t="shared" si="1"/>
        <v>5344.5906863732598</v>
      </c>
    </row>
    <row r="46" spans="2:6" x14ac:dyDescent="0.55000000000000004">
      <c r="B46">
        <f t="shared" si="2"/>
        <v>1</v>
      </c>
      <c r="C46" t="s">
        <v>96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23751.613059035801</v>
      </c>
      <c r="E47">
        <f t="shared" si="0"/>
        <v>23751.613059035801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5191.74555965527</v>
      </c>
      <c r="E48" t="str">
        <f t="shared" si="0"/>
        <v/>
      </c>
      <c r="F48">
        <f t="shared" si="1"/>
        <v>5191.74555965527</v>
      </c>
    </row>
    <row r="49" spans="2:6" x14ac:dyDescent="0.55000000000000004">
      <c r="B49">
        <f t="shared" si="2"/>
        <v>1</v>
      </c>
      <c r="C49" t="s">
        <v>97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28581.4822930011</v>
      </c>
      <c r="E50">
        <f t="shared" si="0"/>
        <v>28581.4822930011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4715.1515813380702</v>
      </c>
      <c r="E51" t="str">
        <f t="shared" si="0"/>
        <v/>
      </c>
      <c r="F51">
        <f t="shared" si="1"/>
        <v>4715.1515813380702</v>
      </c>
    </row>
    <row r="52" spans="2:6" x14ac:dyDescent="0.55000000000000004">
      <c r="B52">
        <f t="shared" si="2"/>
        <v>1</v>
      </c>
      <c r="C52" t="s">
        <v>98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23807.469663023199</v>
      </c>
      <c r="E53">
        <f t="shared" si="0"/>
        <v>23807.469663023199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5190.7357645465099</v>
      </c>
      <c r="E54" t="str">
        <f t="shared" si="0"/>
        <v/>
      </c>
      <c r="F54">
        <f t="shared" si="1"/>
        <v>5190.7357645465099</v>
      </c>
    </row>
    <row r="55" spans="2:6" x14ac:dyDescent="0.55000000000000004">
      <c r="B55">
        <f t="shared" si="2"/>
        <v>1</v>
      </c>
      <c r="C55" t="s">
        <v>99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29031.360215683999</v>
      </c>
      <c r="E56">
        <f t="shared" si="0"/>
        <v>29031.360215683999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4693.2891956602498</v>
      </c>
      <c r="E57" t="str">
        <f t="shared" si="0"/>
        <v/>
      </c>
      <c r="F57">
        <f t="shared" si="1"/>
        <v>4693.2891956602498</v>
      </c>
    </row>
    <row r="58" spans="2:6" x14ac:dyDescent="0.55000000000000004">
      <c r="B58">
        <f t="shared" si="2"/>
        <v>1</v>
      </c>
      <c r="C58" t="s">
        <v>32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27016.8194610475</v>
      </c>
      <c r="E59">
        <f t="shared" si="0"/>
        <v>27016.8194610475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4807.2730532677197</v>
      </c>
      <c r="E60" t="str">
        <f t="shared" si="0"/>
        <v/>
      </c>
      <c r="F60">
        <f t="shared" si="1"/>
        <v>4807.2730532677197</v>
      </c>
    </row>
    <row r="61" spans="2:6" x14ac:dyDescent="0.55000000000000004">
      <c r="B61">
        <f t="shared" si="2"/>
        <v>1</v>
      </c>
      <c r="C61" t="s">
        <v>100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24819.816183932599</v>
      </c>
      <c r="E62">
        <f t="shared" si="0"/>
        <v>24819.816183932599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5126.1341985337203</v>
      </c>
      <c r="E63" t="str">
        <f t="shared" si="0"/>
        <v/>
      </c>
      <c r="F63">
        <f t="shared" si="1"/>
        <v>5126.1341985337203</v>
      </c>
    </row>
    <row r="64" spans="2:6" x14ac:dyDescent="0.55000000000000004">
      <c r="B64">
        <f t="shared" si="2"/>
        <v>1</v>
      </c>
      <c r="C64" t="s">
        <v>101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24806.748612483399</v>
      </c>
      <c r="E65">
        <f t="shared" si="0"/>
        <v>24806.748612483399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5131.0572295421498</v>
      </c>
      <c r="E66" t="str">
        <f t="shared" si="0"/>
        <v/>
      </c>
      <c r="F66">
        <f t="shared" si="1"/>
        <v>5131.0572295421498</v>
      </c>
    </row>
    <row r="67" spans="2:6" x14ac:dyDescent="0.55000000000000004">
      <c r="B67">
        <f t="shared" si="2"/>
        <v>1</v>
      </c>
      <c r="C67" t="s">
        <v>102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24344.307678589699</v>
      </c>
      <c r="E68">
        <f t="shared" si="0"/>
        <v>24344.307678589699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5140.7672231351999</v>
      </c>
      <c r="E69" t="str">
        <f t="shared" ref="E69:E123" si="3">IF(B69=2,C69,"")</f>
        <v/>
      </c>
      <c r="F69">
        <f t="shared" ref="F69:F117" si="4">IF(B69=3,C69,"")</f>
        <v>5140.7672231351999</v>
      </c>
    </row>
    <row r="70" spans="2:6" x14ac:dyDescent="0.55000000000000004">
      <c r="B70">
        <f t="shared" ref="B70:B117" si="5">IF(B69&lt;3,B69+1,1)</f>
        <v>1</v>
      </c>
      <c r="C70" t="s">
        <v>103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23073.849272779102</v>
      </c>
      <c r="E71">
        <f t="shared" si="3"/>
        <v>23073.849272779102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5299.4295212357501</v>
      </c>
      <c r="E72" t="str">
        <f t="shared" si="3"/>
        <v/>
      </c>
      <c r="F72">
        <f t="shared" si="4"/>
        <v>5299.4295212357501</v>
      </c>
    </row>
    <row r="73" spans="2:6" x14ac:dyDescent="0.55000000000000004">
      <c r="B73">
        <f t="shared" si="5"/>
        <v>1</v>
      </c>
      <c r="C73" t="s">
        <v>104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28055.071286747701</v>
      </c>
      <c r="E74">
        <f t="shared" si="3"/>
        <v>28055.071286747701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4729.9472102957297</v>
      </c>
      <c r="E75" t="str">
        <f t="shared" si="3"/>
        <v/>
      </c>
      <c r="F75">
        <f t="shared" si="4"/>
        <v>4729.9472102957297</v>
      </c>
    </row>
    <row r="76" spans="2:6" x14ac:dyDescent="0.55000000000000004">
      <c r="B76">
        <f t="shared" si="5"/>
        <v>1</v>
      </c>
      <c r="C76" t="s">
        <v>105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23039.8482784642</v>
      </c>
      <c r="E77">
        <f t="shared" si="3"/>
        <v>23039.8482784642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5333.6108894963099</v>
      </c>
      <c r="E78" t="str">
        <f t="shared" si="3"/>
        <v/>
      </c>
      <c r="F78">
        <f t="shared" si="4"/>
        <v>5333.6108894963099</v>
      </c>
    </row>
    <row r="79" spans="2:6" x14ac:dyDescent="0.55000000000000004">
      <c r="B79">
        <f t="shared" si="5"/>
        <v>1</v>
      </c>
      <c r="C79" t="s">
        <v>106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28499.512089591699</v>
      </c>
      <c r="E80">
        <f t="shared" si="3"/>
        <v>28499.512089591699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4724.3289316494202</v>
      </c>
      <c r="E81" t="str">
        <f t="shared" si="3"/>
        <v/>
      </c>
      <c r="F81">
        <f t="shared" si="4"/>
        <v>4724.3289316494202</v>
      </c>
    </row>
    <row r="82" spans="2:6" x14ac:dyDescent="0.55000000000000004">
      <c r="B82">
        <f t="shared" si="5"/>
        <v>1</v>
      </c>
      <c r="C82" t="s">
        <v>107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22647.934982132399</v>
      </c>
      <c r="E83">
        <f t="shared" si="3"/>
        <v>22647.934982132399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5372.8722418305497</v>
      </c>
      <c r="E84" t="str">
        <f t="shared" si="3"/>
        <v/>
      </c>
      <c r="F84">
        <f t="shared" si="4"/>
        <v>5372.8722418305497</v>
      </c>
    </row>
    <row r="85" spans="2:6" x14ac:dyDescent="0.55000000000000004">
      <c r="B85">
        <f t="shared" si="5"/>
        <v>1</v>
      </c>
      <c r="C85" t="s">
        <v>108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23053.681010560202</v>
      </c>
      <c r="E86">
        <f t="shared" si="3"/>
        <v>23053.681010560202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5330.1835749725496</v>
      </c>
      <c r="E87" t="str">
        <f t="shared" si="3"/>
        <v/>
      </c>
      <c r="F87">
        <f t="shared" si="4"/>
        <v>5330.1835749725496</v>
      </c>
    </row>
    <row r="88" spans="2:6" x14ac:dyDescent="0.55000000000000004">
      <c r="B88">
        <f t="shared" si="5"/>
        <v>1</v>
      </c>
      <c r="C88" t="s">
        <v>109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24340.743704753801</v>
      </c>
      <c r="E89">
        <f t="shared" si="3"/>
        <v>24340.743704753801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5146.1251373628402</v>
      </c>
      <c r="E90" t="str">
        <f t="shared" si="3"/>
        <v/>
      </c>
      <c r="F90">
        <f t="shared" si="4"/>
        <v>5146.1251373628402</v>
      </c>
    </row>
    <row r="91" spans="2:6" x14ac:dyDescent="0.55000000000000004">
      <c r="B91">
        <f t="shared" si="5"/>
        <v>1</v>
      </c>
      <c r="C91" t="s">
        <v>110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26990.7136192578</v>
      </c>
      <c r="E92">
        <f t="shared" si="3"/>
        <v>26990.7136192578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4820.0839594868203</v>
      </c>
      <c r="E93" t="str">
        <f t="shared" si="3"/>
        <v/>
      </c>
      <c r="F93">
        <f t="shared" si="4"/>
        <v>4820.0839594868203</v>
      </c>
    </row>
    <row r="94" spans="2:6" x14ac:dyDescent="0.55000000000000004">
      <c r="B94">
        <f t="shared" si="5"/>
        <v>1</v>
      </c>
      <c r="C94" t="s">
        <v>111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29036.317032873001</v>
      </c>
      <c r="E95">
        <f t="shared" si="3"/>
        <v>29036.317032873001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4688.4616742733597</v>
      </c>
      <c r="E96" t="str">
        <f t="shared" si="3"/>
        <v/>
      </c>
      <c r="F96">
        <f t="shared" si="4"/>
        <v>4688.4616742733597</v>
      </c>
    </row>
    <row r="97" spans="2:6" x14ac:dyDescent="0.55000000000000004">
      <c r="B97">
        <f t="shared" si="5"/>
        <v>1</v>
      </c>
      <c r="C97" t="s">
        <v>112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27970.4734216861</v>
      </c>
      <c r="E98">
        <f t="shared" si="3"/>
        <v>27970.4734216861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4743.9659012235397</v>
      </c>
      <c r="E99" t="str">
        <f t="shared" si="3"/>
        <v/>
      </c>
      <c r="F99">
        <f t="shared" si="4"/>
        <v>4743.9659012235397</v>
      </c>
    </row>
    <row r="100" spans="2:6" x14ac:dyDescent="0.55000000000000004">
      <c r="B100">
        <f t="shared" si="5"/>
        <v>1</v>
      </c>
      <c r="C100" t="s">
        <v>113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28563.0163653161</v>
      </c>
      <c r="E101">
        <f t="shared" si="3"/>
        <v>28563.0163653161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4720.1555173976803</v>
      </c>
      <c r="E102" t="str">
        <f t="shared" si="3"/>
        <v/>
      </c>
      <c r="F102">
        <f t="shared" si="4"/>
        <v>4720.1555173976803</v>
      </c>
    </row>
    <row r="103" spans="2:6" x14ac:dyDescent="0.55000000000000004">
      <c r="B103">
        <f t="shared" si="5"/>
        <v>1</v>
      </c>
      <c r="C103" t="s">
        <v>114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28024.685050229498</v>
      </c>
      <c r="E104">
        <f t="shared" si="3"/>
        <v>28024.685050229498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4739.8399351513599</v>
      </c>
      <c r="E105" t="str">
        <f t="shared" si="3"/>
        <v/>
      </c>
      <c r="F105">
        <f t="shared" si="4"/>
        <v>4739.8399351513599</v>
      </c>
    </row>
    <row r="106" spans="2:6" x14ac:dyDescent="0.55000000000000004">
      <c r="B106">
        <f t="shared" si="5"/>
        <v>1</v>
      </c>
      <c r="C106" t="s">
        <v>115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28528.5408012847</v>
      </c>
      <c r="E107">
        <f t="shared" si="3"/>
        <v>28528.5408012847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4723.8329490707501</v>
      </c>
      <c r="E108" t="str">
        <f t="shared" si="3"/>
        <v/>
      </c>
      <c r="F108">
        <f t="shared" si="4"/>
        <v>4723.8329490707501</v>
      </c>
    </row>
    <row r="109" spans="2:6" x14ac:dyDescent="0.55000000000000004">
      <c r="B109">
        <f t="shared" si="5"/>
        <v>1</v>
      </c>
      <c r="C109" t="s">
        <v>116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28052.1321180491</v>
      </c>
      <c r="E110">
        <f t="shared" si="3"/>
        <v>28052.1321180491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4734.9133250016203</v>
      </c>
      <c r="E111" t="str">
        <f t="shared" si="3"/>
        <v/>
      </c>
      <c r="F111">
        <f t="shared" si="4"/>
        <v>4734.9133250016203</v>
      </c>
    </row>
    <row r="112" spans="2:6" x14ac:dyDescent="0.55000000000000004">
      <c r="B112">
        <f t="shared" si="5"/>
        <v>1</v>
      </c>
      <c r="C112" t="s">
        <v>117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28050.862385507298</v>
      </c>
      <c r="E113">
        <f t="shared" si="3"/>
        <v>28050.862385507298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4738.6832685429299</v>
      </c>
      <c r="E114" t="str">
        <f t="shared" si="3"/>
        <v/>
      </c>
      <c r="F114">
        <f t="shared" si="4"/>
        <v>4738.6832685429299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3DC7-2A64-4BD3-AE5E-F677B2D2C767}">
  <dimension ref="A1:ET153"/>
  <sheetViews>
    <sheetView workbookViewId="0">
      <selection activeCell="J10" sqref="J10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50" x14ac:dyDescent="0.55000000000000004">
      <c r="A1" t="s">
        <v>118</v>
      </c>
      <c r="B1">
        <v>22620.5760417928</v>
      </c>
      <c r="C1">
        <v>5304.2591692239503</v>
      </c>
      <c r="D1" t="s">
        <v>18</v>
      </c>
      <c r="E1">
        <v>29847.9768269653</v>
      </c>
      <c r="F1">
        <v>4437.0540875260403</v>
      </c>
      <c r="G1" t="s">
        <v>119</v>
      </c>
      <c r="H1">
        <v>24031.690884263298</v>
      </c>
      <c r="I1">
        <v>5081.8244495067902</v>
      </c>
      <c r="J1" t="s">
        <v>120</v>
      </c>
      <c r="K1">
        <v>22771.178215428699</v>
      </c>
      <c r="L1">
        <v>5235.4546710838904</v>
      </c>
      <c r="M1" t="s">
        <v>121</v>
      </c>
      <c r="N1">
        <v>24442.5776474454</v>
      </c>
      <c r="O1">
        <v>4967.4623333810696</v>
      </c>
      <c r="P1" t="s">
        <v>122</v>
      </c>
      <c r="Q1">
        <v>28306.639664709601</v>
      </c>
      <c r="R1">
        <v>4527.9119976599904</v>
      </c>
      <c r="S1" t="s">
        <v>123</v>
      </c>
      <c r="T1">
        <v>25881.019062847299</v>
      </c>
      <c r="U1">
        <v>4773.9771564777302</v>
      </c>
      <c r="V1" t="s">
        <v>124</v>
      </c>
      <c r="W1">
        <v>26342.720215818899</v>
      </c>
      <c r="X1">
        <v>4695.9506820595097</v>
      </c>
      <c r="Y1" t="s">
        <v>125</v>
      </c>
      <c r="Z1">
        <v>27808.184633983801</v>
      </c>
      <c r="AA1">
        <v>4572.6276063420701</v>
      </c>
      <c r="AB1" t="s">
        <v>126</v>
      </c>
      <c r="AC1">
        <v>24861.187286487799</v>
      </c>
      <c r="AD1">
        <v>4919.2144863142403</v>
      </c>
      <c r="AE1" t="s">
        <v>127</v>
      </c>
      <c r="AF1">
        <v>24902.7765428395</v>
      </c>
      <c r="AG1">
        <v>4865.8012002976302</v>
      </c>
      <c r="AH1" t="s">
        <v>128</v>
      </c>
      <c r="AI1">
        <v>27838.911641368399</v>
      </c>
      <c r="AJ1">
        <v>4548.46695545486</v>
      </c>
      <c r="AK1" t="s">
        <v>129</v>
      </c>
      <c r="AL1">
        <v>27314.774740104302</v>
      </c>
      <c r="AM1">
        <v>4607.2540944742104</v>
      </c>
      <c r="AN1" t="s">
        <v>130</v>
      </c>
      <c r="AO1">
        <v>24464.621475048501</v>
      </c>
      <c r="AP1">
        <v>4955.0271869723501</v>
      </c>
      <c r="AQ1" t="s">
        <v>131</v>
      </c>
      <c r="AR1">
        <v>25408.477695017202</v>
      </c>
      <c r="AS1">
        <v>4831.1656993155802</v>
      </c>
      <c r="AT1" t="s">
        <v>132</v>
      </c>
      <c r="AU1">
        <v>26899.224724008898</v>
      </c>
      <c r="AV1">
        <v>4659.1575131301097</v>
      </c>
      <c r="AW1" t="s">
        <v>133</v>
      </c>
      <c r="AX1">
        <v>28840.598092361899</v>
      </c>
      <c r="AY1">
        <v>4500.2411498818801</v>
      </c>
      <c r="AZ1" t="s">
        <v>134</v>
      </c>
      <c r="BA1">
        <v>27309.731983477901</v>
      </c>
      <c r="BB1">
        <v>4619.6216953692301</v>
      </c>
      <c r="BC1" t="s">
        <v>135</v>
      </c>
      <c r="BD1">
        <v>29826.3363401684</v>
      </c>
      <c r="BE1">
        <v>4468.3568281194503</v>
      </c>
      <c r="BF1" t="s">
        <v>136</v>
      </c>
      <c r="BG1">
        <v>25425.034890692801</v>
      </c>
      <c r="BH1">
        <v>4824.58547610595</v>
      </c>
      <c r="BI1" t="s">
        <v>30</v>
      </c>
      <c r="BJ1">
        <v>25865.0839903866</v>
      </c>
      <c r="BK1">
        <v>4797.6456517873403</v>
      </c>
      <c r="BL1" t="s">
        <v>137</v>
      </c>
      <c r="BM1">
        <v>29348.285411883498</v>
      </c>
      <c r="BN1">
        <v>4476.6983937262403</v>
      </c>
      <c r="BO1" t="s">
        <v>138</v>
      </c>
      <c r="BP1">
        <v>26347.2501043952</v>
      </c>
      <c r="BQ1">
        <v>4685.5422644987202</v>
      </c>
      <c r="BR1" t="s">
        <v>139</v>
      </c>
      <c r="BS1">
        <v>28858.622038868201</v>
      </c>
      <c r="BT1">
        <v>4498.3944185214395</v>
      </c>
      <c r="BU1" t="s">
        <v>140</v>
      </c>
      <c r="BV1">
        <v>26844.141475596</v>
      </c>
      <c r="BW1">
        <v>4685.4107107132104</v>
      </c>
      <c r="BX1" t="s">
        <v>141</v>
      </c>
      <c r="BY1">
        <v>29337.511359133699</v>
      </c>
      <c r="BZ1">
        <v>4491.9628345390902</v>
      </c>
      <c r="CA1" t="s">
        <v>142</v>
      </c>
      <c r="CB1">
        <v>24871.803153902099</v>
      </c>
      <c r="CC1">
        <v>4891.08169563717</v>
      </c>
      <c r="CD1" t="s">
        <v>14</v>
      </c>
      <c r="CE1">
        <v>22738.053891352101</v>
      </c>
      <c r="CF1">
        <v>5258.43371314042</v>
      </c>
      <c r="CG1" t="s">
        <v>143</v>
      </c>
      <c r="CH1">
        <v>29828.8009965124</v>
      </c>
      <c r="CI1">
        <v>4441.8736874883698</v>
      </c>
      <c r="CJ1" t="s">
        <v>65</v>
      </c>
      <c r="CK1">
        <v>24896.659292689299</v>
      </c>
      <c r="CL1">
        <v>4880.9996240168903</v>
      </c>
      <c r="CM1" t="s">
        <v>144</v>
      </c>
      <c r="CN1">
        <v>25866.391736466401</v>
      </c>
      <c r="CO1">
        <v>4796.4631709895002</v>
      </c>
      <c r="CP1" t="s">
        <v>145</v>
      </c>
      <c r="CQ1">
        <v>22728.965769017101</v>
      </c>
      <c r="CR1">
        <v>5260.3040379542799</v>
      </c>
      <c r="CS1" t="s">
        <v>146</v>
      </c>
      <c r="CT1">
        <v>22673.5844001718</v>
      </c>
      <c r="CU1">
        <v>5274.8444410797001</v>
      </c>
      <c r="CV1" t="s">
        <v>147</v>
      </c>
      <c r="CW1">
        <v>22639.022511389001</v>
      </c>
      <c r="CX1">
        <v>5288.3907476030499</v>
      </c>
      <c r="CY1" t="s">
        <v>148</v>
      </c>
      <c r="CZ1">
        <v>22624.991981106399</v>
      </c>
      <c r="DA1">
        <v>5301.9443865415396</v>
      </c>
      <c r="DB1" t="s">
        <v>149</v>
      </c>
      <c r="DC1">
        <v>29340.195534006401</v>
      </c>
      <c r="DD1">
        <v>4487.9890003033697</v>
      </c>
      <c r="DE1" t="s">
        <v>150</v>
      </c>
      <c r="DF1">
        <v>26897.390602703301</v>
      </c>
      <c r="DG1">
        <v>4668.0230333674299</v>
      </c>
      <c r="DH1" t="s">
        <v>151</v>
      </c>
      <c r="DI1">
        <v>27314.531755704102</v>
      </c>
      <c r="DJ1">
        <v>4615.9631441305301</v>
      </c>
      <c r="DK1" t="s">
        <v>152</v>
      </c>
      <c r="DL1">
        <v>26849.894936745099</v>
      </c>
      <c r="DM1">
        <v>4679.78840357845</v>
      </c>
      <c r="DN1" t="s">
        <v>153</v>
      </c>
      <c r="DO1">
        <v>22670.312637438401</v>
      </c>
      <c r="DP1">
        <v>5284.0917223286297</v>
      </c>
      <c r="DQ1" t="s">
        <v>154</v>
      </c>
      <c r="DR1">
        <v>22670.9673402677</v>
      </c>
      <c r="DS1">
        <v>5275.5656132377198</v>
      </c>
      <c r="DT1" t="s">
        <v>155</v>
      </c>
      <c r="DU1">
        <v>25414.221261566199</v>
      </c>
      <c r="DV1">
        <v>4829.00802465575</v>
      </c>
      <c r="DW1" t="s">
        <v>156</v>
      </c>
      <c r="DX1">
        <v>22670.021073471202</v>
      </c>
      <c r="DY1">
        <v>5287.2740413251204</v>
      </c>
      <c r="DZ1" t="s">
        <v>157</v>
      </c>
      <c r="EA1">
        <v>29838.032122196098</v>
      </c>
      <c r="EB1">
        <v>4440.7578232473998</v>
      </c>
      <c r="EC1" t="s">
        <v>158</v>
      </c>
      <c r="ED1">
        <v>26858.1575143507</v>
      </c>
      <c r="EE1">
        <v>4675.0284664405399</v>
      </c>
      <c r="EF1" t="s">
        <v>159</v>
      </c>
      <c r="EG1">
        <v>26893.330035044499</v>
      </c>
      <c r="EH1">
        <v>4671.7099045976502</v>
      </c>
      <c r="EI1" t="s">
        <v>33</v>
      </c>
      <c r="EJ1">
        <v>26862.848107392299</v>
      </c>
      <c r="EK1">
        <v>4674.4942212716096</v>
      </c>
      <c r="EL1" t="s">
        <v>160</v>
      </c>
      <c r="EM1">
        <v>26883.6178253002</v>
      </c>
      <c r="EN1">
        <v>4673.29058223423</v>
      </c>
      <c r="EO1" t="s">
        <v>161</v>
      </c>
      <c r="EP1">
        <v>29337.6910290294</v>
      </c>
      <c r="EQ1">
        <v>4491.7613916056498</v>
      </c>
      <c r="ER1" t="s">
        <v>162</v>
      </c>
      <c r="ES1">
        <v>26888.288237135599</v>
      </c>
      <c r="ET1">
        <v>4673.1464810813504</v>
      </c>
    </row>
    <row r="3" spans="1:150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150" x14ac:dyDescent="0.55000000000000004">
      <c r="B4">
        <f>1</f>
        <v>1</v>
      </c>
      <c r="C4" t="s">
        <v>118</v>
      </c>
      <c r="E4" t="str">
        <f>IF(B4=2,C4,"")</f>
        <v/>
      </c>
      <c r="F4" t="str">
        <f>IF(B4=3,C4,"")</f>
        <v/>
      </c>
      <c r="H4">
        <f>MIN(E4:E153)</f>
        <v>22620.5760417928</v>
      </c>
      <c r="I4">
        <f>MAX(E4:E153)</f>
        <v>29847.9768269653</v>
      </c>
      <c r="J4">
        <f>MIN(F4:F153)</f>
        <v>4437.0540875260403</v>
      </c>
      <c r="K4">
        <f>MAX(F4:F153)</f>
        <v>5304.2591692239503</v>
      </c>
      <c r="L4">
        <f>SUMIF(B4:B153,1)</f>
        <v>50</v>
      </c>
    </row>
    <row r="5" spans="1:150" x14ac:dyDescent="0.55000000000000004">
      <c r="B5">
        <f>IF(B4&lt;3,B4+1,1)</f>
        <v>2</v>
      </c>
      <c r="C5">
        <v>22620.5760417928</v>
      </c>
      <c r="E5">
        <f t="shared" ref="E5:E68" si="0">IF(B5=2,C5,"")</f>
        <v>22620.5760417928</v>
      </c>
      <c r="F5" t="str">
        <f t="shared" ref="F5:F68" si="1">IF(B5=3,C5,"")</f>
        <v/>
      </c>
    </row>
    <row r="6" spans="1:150" x14ac:dyDescent="0.55000000000000004">
      <c r="B6">
        <f t="shared" ref="B6:B69" si="2">IF(B5&lt;3,B5+1,1)</f>
        <v>3</v>
      </c>
      <c r="C6">
        <v>5304.2591692239503</v>
      </c>
      <c r="E6" t="str">
        <f t="shared" si="0"/>
        <v/>
      </c>
      <c r="F6">
        <f t="shared" si="1"/>
        <v>5304.2591692239503</v>
      </c>
    </row>
    <row r="7" spans="1:150" x14ac:dyDescent="0.55000000000000004">
      <c r="B7">
        <f t="shared" si="2"/>
        <v>1</v>
      </c>
      <c r="C7" t="s">
        <v>18</v>
      </c>
      <c r="E7" t="str">
        <f t="shared" si="0"/>
        <v/>
      </c>
      <c r="F7" t="str">
        <f t="shared" si="1"/>
        <v/>
      </c>
    </row>
    <row r="8" spans="1:150" x14ac:dyDescent="0.55000000000000004">
      <c r="B8">
        <f t="shared" si="2"/>
        <v>2</v>
      </c>
      <c r="C8">
        <v>29847.9768269653</v>
      </c>
      <c r="E8">
        <f t="shared" si="0"/>
        <v>29847.9768269653</v>
      </c>
      <c r="F8" t="str">
        <f t="shared" si="1"/>
        <v/>
      </c>
    </row>
    <row r="9" spans="1:150" x14ac:dyDescent="0.55000000000000004">
      <c r="B9">
        <f t="shared" si="2"/>
        <v>3</v>
      </c>
      <c r="C9">
        <v>4437.0540875260403</v>
      </c>
      <c r="E9" t="str">
        <f t="shared" si="0"/>
        <v/>
      </c>
      <c r="F9">
        <f t="shared" si="1"/>
        <v>4437.0540875260403</v>
      </c>
    </row>
    <row r="10" spans="1:150" x14ac:dyDescent="0.55000000000000004">
      <c r="B10">
        <f t="shared" si="2"/>
        <v>1</v>
      </c>
      <c r="C10" t="s">
        <v>119</v>
      </c>
      <c r="E10" t="str">
        <f t="shared" si="0"/>
        <v/>
      </c>
      <c r="F10" t="str">
        <f t="shared" si="1"/>
        <v/>
      </c>
    </row>
    <row r="11" spans="1:150" x14ac:dyDescent="0.55000000000000004">
      <c r="B11">
        <f t="shared" si="2"/>
        <v>2</v>
      </c>
      <c r="C11">
        <v>24031.690884263298</v>
      </c>
      <c r="E11">
        <f t="shared" si="0"/>
        <v>24031.690884263298</v>
      </c>
      <c r="F11" t="str">
        <f t="shared" si="1"/>
        <v/>
      </c>
    </row>
    <row r="12" spans="1:150" x14ac:dyDescent="0.55000000000000004">
      <c r="B12">
        <f t="shared" si="2"/>
        <v>3</v>
      </c>
      <c r="C12">
        <v>5081.8244495067902</v>
      </c>
      <c r="E12" t="str">
        <f t="shared" si="0"/>
        <v/>
      </c>
      <c r="F12">
        <f t="shared" si="1"/>
        <v>5081.8244495067902</v>
      </c>
    </row>
    <row r="13" spans="1:150" x14ac:dyDescent="0.55000000000000004">
      <c r="B13">
        <f t="shared" si="2"/>
        <v>1</v>
      </c>
      <c r="C13" t="s">
        <v>120</v>
      </c>
      <c r="E13" t="str">
        <f t="shared" si="0"/>
        <v/>
      </c>
      <c r="F13" t="str">
        <f t="shared" si="1"/>
        <v/>
      </c>
    </row>
    <row r="14" spans="1:150" x14ac:dyDescent="0.55000000000000004">
      <c r="B14">
        <f t="shared" si="2"/>
        <v>2</v>
      </c>
      <c r="C14">
        <v>22771.178215428699</v>
      </c>
      <c r="E14">
        <f t="shared" si="0"/>
        <v>22771.178215428699</v>
      </c>
      <c r="F14" t="str">
        <f t="shared" si="1"/>
        <v/>
      </c>
    </row>
    <row r="15" spans="1:150" x14ac:dyDescent="0.55000000000000004">
      <c r="B15">
        <f t="shared" si="2"/>
        <v>3</v>
      </c>
      <c r="C15">
        <v>5235.4546710838904</v>
      </c>
      <c r="E15" t="str">
        <f t="shared" si="0"/>
        <v/>
      </c>
      <c r="F15">
        <f t="shared" si="1"/>
        <v>5235.4546710838904</v>
      </c>
    </row>
    <row r="16" spans="1:150" x14ac:dyDescent="0.55000000000000004">
      <c r="B16">
        <f t="shared" si="2"/>
        <v>1</v>
      </c>
      <c r="C16" t="s">
        <v>121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24442.5776474454</v>
      </c>
      <c r="E17">
        <f t="shared" si="0"/>
        <v>24442.5776474454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4967.4623333810696</v>
      </c>
      <c r="E18" t="str">
        <f t="shared" si="0"/>
        <v/>
      </c>
      <c r="F18">
        <f t="shared" si="1"/>
        <v>4967.4623333810696</v>
      </c>
    </row>
    <row r="19" spans="2:6" x14ac:dyDescent="0.55000000000000004">
      <c r="B19">
        <f t="shared" si="2"/>
        <v>1</v>
      </c>
      <c r="C19" t="s">
        <v>122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28306.639664709601</v>
      </c>
      <c r="E20">
        <f t="shared" si="0"/>
        <v>28306.639664709601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4527.9119976599904</v>
      </c>
      <c r="E21" t="str">
        <f t="shared" si="0"/>
        <v/>
      </c>
      <c r="F21">
        <f t="shared" si="1"/>
        <v>4527.9119976599904</v>
      </c>
    </row>
    <row r="22" spans="2:6" x14ac:dyDescent="0.55000000000000004">
      <c r="B22">
        <f t="shared" si="2"/>
        <v>1</v>
      </c>
      <c r="C22" t="s">
        <v>123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25881.019062847299</v>
      </c>
      <c r="E23">
        <f t="shared" si="0"/>
        <v>25881.019062847299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4773.9771564777302</v>
      </c>
      <c r="E24" t="str">
        <f t="shared" si="0"/>
        <v/>
      </c>
      <c r="F24">
        <f t="shared" si="1"/>
        <v>4773.9771564777302</v>
      </c>
    </row>
    <row r="25" spans="2:6" x14ac:dyDescent="0.55000000000000004">
      <c r="B25">
        <f t="shared" si="2"/>
        <v>1</v>
      </c>
      <c r="C25" t="s">
        <v>124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26342.720215818899</v>
      </c>
      <c r="E26">
        <f t="shared" si="0"/>
        <v>26342.720215818899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4695.9506820595097</v>
      </c>
      <c r="E27" t="str">
        <f t="shared" si="0"/>
        <v/>
      </c>
      <c r="F27">
        <f t="shared" si="1"/>
        <v>4695.9506820595097</v>
      </c>
    </row>
    <row r="28" spans="2:6" x14ac:dyDescent="0.55000000000000004">
      <c r="B28">
        <f t="shared" si="2"/>
        <v>1</v>
      </c>
      <c r="C28" t="s">
        <v>125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27808.184633983801</v>
      </c>
      <c r="E29">
        <f t="shared" si="0"/>
        <v>27808.184633983801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4572.6276063420701</v>
      </c>
      <c r="E30" t="str">
        <f t="shared" si="0"/>
        <v/>
      </c>
      <c r="F30">
        <f t="shared" si="1"/>
        <v>4572.6276063420701</v>
      </c>
    </row>
    <row r="31" spans="2:6" x14ac:dyDescent="0.55000000000000004">
      <c r="B31">
        <f t="shared" si="2"/>
        <v>1</v>
      </c>
      <c r="C31" t="s">
        <v>126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24861.187286487799</v>
      </c>
      <c r="E32">
        <f t="shared" si="0"/>
        <v>24861.187286487799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4919.2144863142403</v>
      </c>
      <c r="E33" t="str">
        <f t="shared" si="0"/>
        <v/>
      </c>
      <c r="F33">
        <f t="shared" si="1"/>
        <v>4919.2144863142403</v>
      </c>
    </row>
    <row r="34" spans="2:6" x14ac:dyDescent="0.55000000000000004">
      <c r="B34">
        <f t="shared" si="2"/>
        <v>1</v>
      </c>
      <c r="C34" t="s">
        <v>127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24902.7765428395</v>
      </c>
      <c r="E35">
        <f t="shared" si="0"/>
        <v>24902.7765428395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4865.8012002976302</v>
      </c>
      <c r="E36" t="str">
        <f t="shared" si="0"/>
        <v/>
      </c>
      <c r="F36">
        <f t="shared" si="1"/>
        <v>4865.8012002976302</v>
      </c>
    </row>
    <row r="37" spans="2:6" x14ac:dyDescent="0.55000000000000004">
      <c r="B37">
        <f t="shared" si="2"/>
        <v>1</v>
      </c>
      <c r="C37" t="s">
        <v>128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27838.911641368399</v>
      </c>
      <c r="E38">
        <f t="shared" si="0"/>
        <v>27838.911641368399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4548.46695545486</v>
      </c>
      <c r="E39" t="str">
        <f t="shared" si="0"/>
        <v/>
      </c>
      <c r="F39">
        <f t="shared" si="1"/>
        <v>4548.46695545486</v>
      </c>
    </row>
    <row r="40" spans="2:6" x14ac:dyDescent="0.55000000000000004">
      <c r="B40">
        <f t="shared" si="2"/>
        <v>1</v>
      </c>
      <c r="C40" t="s">
        <v>129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27314.774740104302</v>
      </c>
      <c r="E41">
        <f t="shared" si="0"/>
        <v>27314.774740104302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4607.2540944742104</v>
      </c>
      <c r="E42" t="str">
        <f t="shared" si="0"/>
        <v/>
      </c>
      <c r="F42">
        <f t="shared" si="1"/>
        <v>4607.2540944742104</v>
      </c>
    </row>
    <row r="43" spans="2:6" x14ac:dyDescent="0.55000000000000004">
      <c r="B43">
        <f t="shared" si="2"/>
        <v>1</v>
      </c>
      <c r="C43" t="s">
        <v>130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24464.621475048501</v>
      </c>
      <c r="E44">
        <f t="shared" si="0"/>
        <v>24464.621475048501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4955.0271869723501</v>
      </c>
      <c r="E45" t="str">
        <f t="shared" si="0"/>
        <v/>
      </c>
      <c r="F45">
        <f t="shared" si="1"/>
        <v>4955.0271869723501</v>
      </c>
    </row>
    <row r="46" spans="2:6" x14ac:dyDescent="0.55000000000000004">
      <c r="B46">
        <f t="shared" si="2"/>
        <v>1</v>
      </c>
      <c r="C46" t="s">
        <v>131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25408.477695017202</v>
      </c>
      <c r="E47">
        <f t="shared" si="0"/>
        <v>25408.477695017202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4831.1656993155802</v>
      </c>
      <c r="E48" t="str">
        <f t="shared" si="0"/>
        <v/>
      </c>
      <c r="F48">
        <f t="shared" si="1"/>
        <v>4831.1656993155802</v>
      </c>
    </row>
    <row r="49" spans="2:6" x14ac:dyDescent="0.55000000000000004">
      <c r="B49">
        <f t="shared" si="2"/>
        <v>1</v>
      </c>
      <c r="C49" t="s">
        <v>132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26899.224724008898</v>
      </c>
      <c r="E50">
        <f t="shared" si="0"/>
        <v>26899.224724008898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4659.1575131301097</v>
      </c>
      <c r="E51" t="str">
        <f t="shared" si="0"/>
        <v/>
      </c>
      <c r="F51">
        <f t="shared" si="1"/>
        <v>4659.1575131301097</v>
      </c>
    </row>
    <row r="52" spans="2:6" x14ac:dyDescent="0.55000000000000004">
      <c r="B52">
        <f t="shared" si="2"/>
        <v>1</v>
      </c>
      <c r="C52" t="s">
        <v>133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28840.598092361899</v>
      </c>
      <c r="E53">
        <f t="shared" si="0"/>
        <v>28840.598092361899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4500.2411498818801</v>
      </c>
      <c r="E54" t="str">
        <f t="shared" si="0"/>
        <v/>
      </c>
      <c r="F54">
        <f t="shared" si="1"/>
        <v>4500.2411498818801</v>
      </c>
    </row>
    <row r="55" spans="2:6" x14ac:dyDescent="0.55000000000000004">
      <c r="B55">
        <f t="shared" si="2"/>
        <v>1</v>
      </c>
      <c r="C55" t="s">
        <v>134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27309.731983477901</v>
      </c>
      <c r="E56">
        <f t="shared" si="0"/>
        <v>27309.731983477901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4619.6216953692301</v>
      </c>
      <c r="E57" t="str">
        <f t="shared" si="0"/>
        <v/>
      </c>
      <c r="F57">
        <f t="shared" si="1"/>
        <v>4619.6216953692301</v>
      </c>
    </row>
    <row r="58" spans="2:6" x14ac:dyDescent="0.55000000000000004">
      <c r="B58">
        <f t="shared" si="2"/>
        <v>1</v>
      </c>
      <c r="C58" t="s">
        <v>135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29826.3363401684</v>
      </c>
      <c r="E59">
        <f t="shared" si="0"/>
        <v>29826.3363401684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4468.3568281194503</v>
      </c>
      <c r="E60" t="str">
        <f t="shared" si="0"/>
        <v/>
      </c>
      <c r="F60">
        <f t="shared" si="1"/>
        <v>4468.3568281194503</v>
      </c>
    </row>
    <row r="61" spans="2:6" x14ac:dyDescent="0.55000000000000004">
      <c r="B61">
        <f t="shared" si="2"/>
        <v>1</v>
      </c>
      <c r="C61" t="s">
        <v>136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25425.034890692801</v>
      </c>
      <c r="E62">
        <f t="shared" si="0"/>
        <v>25425.034890692801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4824.58547610595</v>
      </c>
      <c r="E63" t="str">
        <f t="shared" si="0"/>
        <v/>
      </c>
      <c r="F63">
        <f t="shared" si="1"/>
        <v>4824.58547610595</v>
      </c>
    </row>
    <row r="64" spans="2:6" x14ac:dyDescent="0.55000000000000004">
      <c r="B64">
        <f t="shared" si="2"/>
        <v>1</v>
      </c>
      <c r="C64" t="s">
        <v>30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25865.0839903866</v>
      </c>
      <c r="E65">
        <f t="shared" si="0"/>
        <v>25865.0839903866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4797.6456517873403</v>
      </c>
      <c r="E66" t="str">
        <f t="shared" si="0"/>
        <v/>
      </c>
      <c r="F66">
        <f t="shared" si="1"/>
        <v>4797.6456517873403</v>
      </c>
    </row>
    <row r="67" spans="2:6" x14ac:dyDescent="0.55000000000000004">
      <c r="B67">
        <f t="shared" si="2"/>
        <v>1</v>
      </c>
      <c r="C67" t="s">
        <v>137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29348.285411883498</v>
      </c>
      <c r="E68">
        <f t="shared" si="0"/>
        <v>29348.285411883498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4476.6983937262403</v>
      </c>
      <c r="E69" t="str">
        <f t="shared" ref="E69:E132" si="3">IF(B69=2,C69,"")</f>
        <v/>
      </c>
      <c r="F69">
        <f t="shared" ref="F69:F132" si="4">IF(B69=3,C69,"")</f>
        <v>4476.6983937262403</v>
      </c>
    </row>
    <row r="70" spans="2:6" x14ac:dyDescent="0.55000000000000004">
      <c r="B70">
        <f t="shared" ref="B70:B123" si="5">IF(B69&lt;3,B69+1,1)</f>
        <v>1</v>
      </c>
      <c r="C70" t="s">
        <v>138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26347.2501043952</v>
      </c>
      <c r="E71">
        <f t="shared" si="3"/>
        <v>26347.2501043952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4685.5422644987202</v>
      </c>
      <c r="E72" t="str">
        <f t="shared" si="3"/>
        <v/>
      </c>
      <c r="F72">
        <f t="shared" si="4"/>
        <v>4685.5422644987202</v>
      </c>
    </row>
    <row r="73" spans="2:6" x14ac:dyDescent="0.55000000000000004">
      <c r="B73">
        <f t="shared" si="5"/>
        <v>1</v>
      </c>
      <c r="C73" t="s">
        <v>139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28858.622038868201</v>
      </c>
      <c r="E74">
        <f t="shared" si="3"/>
        <v>28858.622038868201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4498.3944185214395</v>
      </c>
      <c r="E75" t="str">
        <f t="shared" si="3"/>
        <v/>
      </c>
      <c r="F75">
        <f t="shared" si="4"/>
        <v>4498.3944185214395</v>
      </c>
    </row>
    <row r="76" spans="2:6" x14ac:dyDescent="0.55000000000000004">
      <c r="B76">
        <f t="shared" si="5"/>
        <v>1</v>
      </c>
      <c r="C76" t="s">
        <v>140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26844.141475596</v>
      </c>
      <c r="E77">
        <f t="shared" si="3"/>
        <v>26844.141475596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4685.4107107132104</v>
      </c>
      <c r="E78" t="str">
        <f t="shared" si="3"/>
        <v/>
      </c>
      <c r="F78">
        <f t="shared" si="4"/>
        <v>4685.4107107132104</v>
      </c>
    </row>
    <row r="79" spans="2:6" x14ac:dyDescent="0.55000000000000004">
      <c r="B79">
        <f t="shared" si="5"/>
        <v>1</v>
      </c>
      <c r="C79" t="s">
        <v>141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29337.511359133699</v>
      </c>
      <c r="E80">
        <f t="shared" si="3"/>
        <v>29337.511359133699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4491.9628345390902</v>
      </c>
      <c r="E81" t="str">
        <f t="shared" si="3"/>
        <v/>
      </c>
      <c r="F81">
        <f t="shared" si="4"/>
        <v>4491.9628345390902</v>
      </c>
    </row>
    <row r="82" spans="2:6" x14ac:dyDescent="0.55000000000000004">
      <c r="B82">
        <f t="shared" si="5"/>
        <v>1</v>
      </c>
      <c r="C82" t="s">
        <v>142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24871.803153902099</v>
      </c>
      <c r="E83">
        <f t="shared" si="3"/>
        <v>24871.803153902099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4891.08169563717</v>
      </c>
      <c r="E84" t="str">
        <f t="shared" si="3"/>
        <v/>
      </c>
      <c r="F84">
        <f t="shared" si="4"/>
        <v>4891.08169563717</v>
      </c>
    </row>
    <row r="85" spans="2:6" x14ac:dyDescent="0.55000000000000004">
      <c r="B85">
        <f t="shared" si="5"/>
        <v>1</v>
      </c>
      <c r="C85" t="s">
        <v>14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22738.053891352101</v>
      </c>
      <c r="E86">
        <f t="shared" si="3"/>
        <v>22738.053891352101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5258.43371314042</v>
      </c>
      <c r="E87" t="str">
        <f t="shared" si="3"/>
        <v/>
      </c>
      <c r="F87">
        <f t="shared" si="4"/>
        <v>5258.43371314042</v>
      </c>
    </row>
    <row r="88" spans="2:6" x14ac:dyDescent="0.55000000000000004">
      <c r="B88">
        <f t="shared" si="5"/>
        <v>1</v>
      </c>
      <c r="C88" t="s">
        <v>143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29828.8009965124</v>
      </c>
      <c r="E89">
        <f t="shared" si="3"/>
        <v>29828.8009965124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4441.8736874883698</v>
      </c>
      <c r="E90" t="str">
        <f t="shared" si="3"/>
        <v/>
      </c>
      <c r="F90">
        <f t="shared" si="4"/>
        <v>4441.8736874883698</v>
      </c>
    </row>
    <row r="91" spans="2:6" x14ac:dyDescent="0.55000000000000004">
      <c r="B91">
        <f t="shared" si="5"/>
        <v>1</v>
      </c>
      <c r="C91" t="s">
        <v>65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24896.659292689299</v>
      </c>
      <c r="E92">
        <f t="shared" si="3"/>
        <v>24896.659292689299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4880.9996240168903</v>
      </c>
      <c r="E93" t="str">
        <f t="shared" si="3"/>
        <v/>
      </c>
      <c r="F93">
        <f t="shared" si="4"/>
        <v>4880.9996240168903</v>
      </c>
    </row>
    <row r="94" spans="2:6" x14ac:dyDescent="0.55000000000000004">
      <c r="B94">
        <f t="shared" si="5"/>
        <v>1</v>
      </c>
      <c r="C94" t="s">
        <v>144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25866.391736466401</v>
      </c>
      <c r="E95">
        <f t="shared" si="3"/>
        <v>25866.391736466401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4796.4631709895002</v>
      </c>
      <c r="E96" t="str">
        <f t="shared" si="3"/>
        <v/>
      </c>
      <c r="F96">
        <f t="shared" si="4"/>
        <v>4796.4631709895002</v>
      </c>
    </row>
    <row r="97" spans="2:6" x14ac:dyDescent="0.55000000000000004">
      <c r="B97">
        <f t="shared" si="5"/>
        <v>1</v>
      </c>
      <c r="C97" t="s">
        <v>145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22728.965769017101</v>
      </c>
      <c r="E98">
        <f t="shared" si="3"/>
        <v>22728.965769017101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5260.3040379542799</v>
      </c>
      <c r="E99" t="str">
        <f t="shared" si="3"/>
        <v/>
      </c>
      <c r="F99">
        <f t="shared" si="4"/>
        <v>5260.3040379542799</v>
      </c>
    </row>
    <row r="100" spans="2:6" x14ac:dyDescent="0.55000000000000004">
      <c r="B100">
        <f t="shared" si="5"/>
        <v>1</v>
      </c>
      <c r="C100" t="s">
        <v>146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22673.5844001718</v>
      </c>
      <c r="E101">
        <f t="shared" si="3"/>
        <v>22673.5844001718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5274.8444410797001</v>
      </c>
      <c r="E102" t="str">
        <f t="shared" si="3"/>
        <v/>
      </c>
      <c r="F102">
        <f t="shared" si="4"/>
        <v>5274.8444410797001</v>
      </c>
    </row>
    <row r="103" spans="2:6" x14ac:dyDescent="0.55000000000000004">
      <c r="B103">
        <f t="shared" si="5"/>
        <v>1</v>
      </c>
      <c r="C103" t="s">
        <v>147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22639.022511389001</v>
      </c>
      <c r="E104">
        <f t="shared" si="3"/>
        <v>22639.022511389001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5288.3907476030499</v>
      </c>
      <c r="E105" t="str">
        <f t="shared" si="3"/>
        <v/>
      </c>
      <c r="F105">
        <f t="shared" si="4"/>
        <v>5288.3907476030499</v>
      </c>
    </row>
    <row r="106" spans="2:6" x14ac:dyDescent="0.55000000000000004">
      <c r="B106">
        <f t="shared" si="5"/>
        <v>1</v>
      </c>
      <c r="C106" t="s">
        <v>148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22624.991981106399</v>
      </c>
      <c r="E107">
        <f t="shared" si="3"/>
        <v>22624.991981106399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5301.9443865415396</v>
      </c>
      <c r="E108" t="str">
        <f t="shared" si="3"/>
        <v/>
      </c>
      <c r="F108">
        <f t="shared" si="4"/>
        <v>5301.9443865415396</v>
      </c>
    </row>
    <row r="109" spans="2:6" x14ac:dyDescent="0.55000000000000004">
      <c r="B109">
        <f t="shared" si="5"/>
        <v>1</v>
      </c>
      <c r="C109" t="s">
        <v>149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29340.195534006401</v>
      </c>
      <c r="E110">
        <f t="shared" si="3"/>
        <v>29340.195534006401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4487.9890003033697</v>
      </c>
      <c r="E111" t="str">
        <f t="shared" si="3"/>
        <v/>
      </c>
      <c r="F111">
        <f t="shared" si="4"/>
        <v>4487.9890003033697</v>
      </c>
    </row>
    <row r="112" spans="2:6" x14ac:dyDescent="0.55000000000000004">
      <c r="B112">
        <f t="shared" si="5"/>
        <v>1</v>
      </c>
      <c r="C112" t="s">
        <v>150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26897.390602703301</v>
      </c>
      <c r="E113">
        <f t="shared" si="3"/>
        <v>26897.390602703301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4668.0230333674299</v>
      </c>
      <c r="E114" t="str">
        <f t="shared" si="3"/>
        <v/>
      </c>
      <c r="F114">
        <f t="shared" si="4"/>
        <v>4668.0230333674299</v>
      </c>
    </row>
    <row r="115" spans="2:6" x14ac:dyDescent="0.55000000000000004">
      <c r="B115">
        <f t="shared" si="5"/>
        <v>1</v>
      </c>
      <c r="C115" t="s">
        <v>151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27314.531755704102</v>
      </c>
      <c r="E116">
        <f t="shared" si="3"/>
        <v>27314.531755704102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4615.9631441305301</v>
      </c>
      <c r="E117" t="str">
        <f t="shared" si="3"/>
        <v/>
      </c>
      <c r="F117">
        <f t="shared" si="4"/>
        <v>4615.9631441305301</v>
      </c>
    </row>
    <row r="118" spans="2:6" x14ac:dyDescent="0.55000000000000004">
      <c r="B118">
        <f t="shared" si="5"/>
        <v>1</v>
      </c>
      <c r="C118" t="s">
        <v>152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26849.894936745099</v>
      </c>
      <c r="E119">
        <f t="shared" si="3"/>
        <v>26849.894936745099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4679.78840357845</v>
      </c>
      <c r="E120" t="str">
        <f t="shared" si="3"/>
        <v/>
      </c>
      <c r="F120">
        <f t="shared" si="4"/>
        <v>4679.78840357845</v>
      </c>
    </row>
    <row r="121" spans="2:6" x14ac:dyDescent="0.55000000000000004">
      <c r="B121">
        <f t="shared" si="5"/>
        <v>1</v>
      </c>
      <c r="C121" t="s">
        <v>153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22670.312637438401</v>
      </c>
      <c r="E122">
        <f t="shared" si="3"/>
        <v>22670.312637438401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5284.0917223286297</v>
      </c>
      <c r="E123" t="str">
        <f t="shared" si="3"/>
        <v/>
      </c>
      <c r="F123">
        <f t="shared" si="4"/>
        <v>5284.0917223286297</v>
      </c>
    </row>
    <row r="124" spans="2:6" x14ac:dyDescent="0.55000000000000004">
      <c r="B124">
        <f>IF(B123&lt;3,B123+1,1)</f>
        <v>1</v>
      </c>
      <c r="C124" t="s">
        <v>154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53" si="6">IF(B124&lt;3,B124+1,1)</f>
        <v>2</v>
      </c>
      <c r="C125">
        <v>22670.9673402677</v>
      </c>
      <c r="E125">
        <f t="shared" si="3"/>
        <v>22670.9673402677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5275.5656132377198</v>
      </c>
      <c r="E126" t="str">
        <f t="shared" si="3"/>
        <v/>
      </c>
      <c r="F126">
        <f t="shared" si="4"/>
        <v>5275.5656132377198</v>
      </c>
    </row>
    <row r="127" spans="2:6" x14ac:dyDescent="0.55000000000000004">
      <c r="B127">
        <f t="shared" si="6"/>
        <v>1</v>
      </c>
      <c r="C127" t="s">
        <v>155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25414.221261566199</v>
      </c>
      <c r="E128">
        <f t="shared" si="3"/>
        <v>25414.221261566199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4829.00802465575</v>
      </c>
      <c r="E129" t="str">
        <f t="shared" si="3"/>
        <v/>
      </c>
      <c r="F129">
        <f t="shared" si="4"/>
        <v>4829.00802465575</v>
      </c>
    </row>
    <row r="130" spans="2:6" x14ac:dyDescent="0.55000000000000004">
      <c r="B130">
        <f t="shared" si="6"/>
        <v>1</v>
      </c>
      <c r="C130" t="s">
        <v>156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22670.021073471202</v>
      </c>
      <c r="E131">
        <f t="shared" si="3"/>
        <v>22670.021073471202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5287.2740413251204</v>
      </c>
      <c r="E132" t="str">
        <f t="shared" si="3"/>
        <v/>
      </c>
      <c r="F132">
        <f t="shared" si="4"/>
        <v>5287.2740413251204</v>
      </c>
    </row>
    <row r="133" spans="2:6" x14ac:dyDescent="0.55000000000000004">
      <c r="B133">
        <f t="shared" si="6"/>
        <v>1</v>
      </c>
      <c r="C133" t="s">
        <v>157</v>
      </c>
      <c r="E133" t="str">
        <f t="shared" ref="E133:E153" si="7">IF(B133=2,C133,"")</f>
        <v/>
      </c>
      <c r="F133" t="str">
        <f t="shared" ref="F133:F153" si="8">IF(B133=3,C133,"")</f>
        <v/>
      </c>
    </row>
    <row r="134" spans="2:6" x14ac:dyDescent="0.55000000000000004">
      <c r="B134">
        <f t="shared" si="6"/>
        <v>2</v>
      </c>
      <c r="C134">
        <v>29838.032122196098</v>
      </c>
      <c r="E134">
        <f t="shared" si="7"/>
        <v>29838.032122196098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4440.7578232473998</v>
      </c>
      <c r="E135" t="str">
        <f t="shared" si="7"/>
        <v/>
      </c>
      <c r="F135">
        <f t="shared" si="8"/>
        <v>4440.7578232473998</v>
      </c>
    </row>
    <row r="136" spans="2:6" x14ac:dyDescent="0.55000000000000004">
      <c r="B136">
        <f t="shared" si="6"/>
        <v>1</v>
      </c>
      <c r="C136" t="s">
        <v>158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26858.1575143507</v>
      </c>
      <c r="E137">
        <f t="shared" si="7"/>
        <v>26858.1575143507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4675.0284664405399</v>
      </c>
      <c r="E138" t="str">
        <f t="shared" si="7"/>
        <v/>
      </c>
      <c r="F138">
        <f t="shared" si="8"/>
        <v>4675.0284664405399</v>
      </c>
    </row>
    <row r="139" spans="2:6" x14ac:dyDescent="0.55000000000000004">
      <c r="B139">
        <f t="shared" si="6"/>
        <v>1</v>
      </c>
      <c r="C139" t="s">
        <v>159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26893.330035044499</v>
      </c>
      <c r="E140">
        <f t="shared" si="7"/>
        <v>26893.330035044499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4671.7099045976502</v>
      </c>
      <c r="E141" t="str">
        <f t="shared" si="7"/>
        <v/>
      </c>
      <c r="F141">
        <f t="shared" si="8"/>
        <v>4671.7099045976502</v>
      </c>
    </row>
    <row r="142" spans="2:6" x14ac:dyDescent="0.55000000000000004">
      <c r="B142">
        <f t="shared" si="6"/>
        <v>1</v>
      </c>
      <c r="C142" t="s">
        <v>33</v>
      </c>
      <c r="E142" t="str">
        <f t="shared" si="7"/>
        <v/>
      </c>
      <c r="F142" t="str">
        <f t="shared" si="8"/>
        <v/>
      </c>
    </row>
    <row r="143" spans="2:6" x14ac:dyDescent="0.55000000000000004">
      <c r="B143">
        <f t="shared" si="6"/>
        <v>2</v>
      </c>
      <c r="C143">
        <v>26862.848107392299</v>
      </c>
      <c r="E143">
        <f t="shared" si="7"/>
        <v>26862.848107392299</v>
      </c>
      <c r="F143" t="str">
        <f t="shared" si="8"/>
        <v/>
      </c>
    </row>
    <row r="144" spans="2:6" x14ac:dyDescent="0.55000000000000004">
      <c r="B144">
        <f t="shared" si="6"/>
        <v>3</v>
      </c>
      <c r="C144">
        <v>4674.4942212716096</v>
      </c>
      <c r="E144" t="str">
        <f t="shared" si="7"/>
        <v/>
      </c>
      <c r="F144">
        <f t="shared" si="8"/>
        <v>4674.4942212716096</v>
      </c>
    </row>
    <row r="145" spans="2:6" x14ac:dyDescent="0.55000000000000004">
      <c r="B145">
        <f t="shared" si="6"/>
        <v>1</v>
      </c>
      <c r="C145" t="s">
        <v>160</v>
      </c>
      <c r="E145" t="str">
        <f t="shared" si="7"/>
        <v/>
      </c>
      <c r="F145" t="str">
        <f t="shared" si="8"/>
        <v/>
      </c>
    </row>
    <row r="146" spans="2:6" x14ac:dyDescent="0.55000000000000004">
      <c r="B146">
        <f t="shared" si="6"/>
        <v>2</v>
      </c>
      <c r="C146">
        <v>26883.6178253002</v>
      </c>
      <c r="E146">
        <f t="shared" si="7"/>
        <v>26883.6178253002</v>
      </c>
      <c r="F146" t="str">
        <f t="shared" si="8"/>
        <v/>
      </c>
    </row>
    <row r="147" spans="2:6" x14ac:dyDescent="0.55000000000000004">
      <c r="B147">
        <f t="shared" si="6"/>
        <v>3</v>
      </c>
      <c r="C147">
        <v>4673.29058223423</v>
      </c>
      <c r="E147" t="str">
        <f t="shared" si="7"/>
        <v/>
      </c>
      <c r="F147">
        <f t="shared" si="8"/>
        <v>4673.29058223423</v>
      </c>
    </row>
    <row r="148" spans="2:6" x14ac:dyDescent="0.55000000000000004">
      <c r="B148">
        <f t="shared" si="6"/>
        <v>1</v>
      </c>
      <c r="C148" t="s">
        <v>161</v>
      </c>
      <c r="E148" t="str">
        <f t="shared" si="7"/>
        <v/>
      </c>
      <c r="F148" t="str">
        <f t="shared" si="8"/>
        <v/>
      </c>
    </row>
    <row r="149" spans="2:6" x14ac:dyDescent="0.55000000000000004">
      <c r="B149">
        <f t="shared" si="6"/>
        <v>2</v>
      </c>
      <c r="C149">
        <v>29337.6910290294</v>
      </c>
      <c r="E149">
        <f t="shared" si="7"/>
        <v>29337.6910290294</v>
      </c>
      <c r="F149" t="str">
        <f t="shared" si="8"/>
        <v/>
      </c>
    </row>
    <row r="150" spans="2:6" x14ac:dyDescent="0.55000000000000004">
      <c r="B150">
        <f t="shared" si="6"/>
        <v>3</v>
      </c>
      <c r="C150">
        <v>4491.7613916056498</v>
      </c>
      <c r="E150" t="str">
        <f t="shared" si="7"/>
        <v/>
      </c>
      <c r="F150">
        <f t="shared" si="8"/>
        <v>4491.7613916056498</v>
      </c>
    </row>
    <row r="151" spans="2:6" x14ac:dyDescent="0.55000000000000004">
      <c r="B151">
        <f t="shared" si="6"/>
        <v>1</v>
      </c>
      <c r="C151" t="s">
        <v>162</v>
      </c>
      <c r="E151" t="str">
        <f t="shared" si="7"/>
        <v/>
      </c>
      <c r="F151" t="str">
        <f t="shared" si="8"/>
        <v/>
      </c>
    </row>
    <row r="152" spans="2:6" x14ac:dyDescent="0.55000000000000004">
      <c r="B152">
        <f t="shared" si="6"/>
        <v>2</v>
      </c>
      <c r="C152">
        <v>26888.288237135599</v>
      </c>
      <c r="E152">
        <f t="shared" si="7"/>
        <v>26888.288237135599</v>
      </c>
      <c r="F152" t="str">
        <f t="shared" si="8"/>
        <v/>
      </c>
    </row>
    <row r="153" spans="2:6" x14ac:dyDescent="0.55000000000000004">
      <c r="B153">
        <f t="shared" si="6"/>
        <v>3</v>
      </c>
      <c r="C153">
        <v>4673.1464810813504</v>
      </c>
      <c r="E153" t="str">
        <f t="shared" si="7"/>
        <v/>
      </c>
      <c r="F153">
        <f t="shared" si="8"/>
        <v>4673.1464810813504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6AF7-1175-43A6-82B0-EBB2158C72A2}">
  <dimension ref="A1:BH63"/>
  <sheetViews>
    <sheetView workbookViewId="0">
      <selection activeCell="H4" sqref="H4:L4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60" x14ac:dyDescent="0.55000000000000004">
      <c r="A1" t="s">
        <v>163</v>
      </c>
      <c r="B1">
        <v>22271.399568675999</v>
      </c>
      <c r="C1">
        <v>5151.0036478470802</v>
      </c>
      <c r="D1" t="s">
        <v>164</v>
      </c>
      <c r="E1">
        <v>26653.476867679601</v>
      </c>
      <c r="F1">
        <v>4426.1415734906896</v>
      </c>
      <c r="G1" t="s">
        <v>21</v>
      </c>
      <c r="H1">
        <v>22751.037103027898</v>
      </c>
      <c r="I1">
        <v>4811.5252635954002</v>
      </c>
      <c r="J1" t="s">
        <v>165</v>
      </c>
      <c r="K1">
        <v>22397.6317513104</v>
      </c>
      <c r="L1">
        <v>5066.2732958664601</v>
      </c>
      <c r="M1" t="s">
        <v>166</v>
      </c>
      <c r="N1">
        <v>23231.878292642901</v>
      </c>
      <c r="O1">
        <v>4668.7417500735301</v>
      </c>
      <c r="P1" t="s">
        <v>167</v>
      </c>
      <c r="Q1">
        <v>24636.196134665399</v>
      </c>
      <c r="R1">
        <v>4507.2921349758299</v>
      </c>
      <c r="S1" t="s">
        <v>26</v>
      </c>
      <c r="T1">
        <v>24159.444844698199</v>
      </c>
      <c r="U1">
        <v>4590.33414099521</v>
      </c>
      <c r="V1" t="s">
        <v>24</v>
      </c>
      <c r="W1">
        <v>22829.585302485899</v>
      </c>
      <c r="X1">
        <v>4781.7229413722298</v>
      </c>
      <c r="Y1" t="s">
        <v>168</v>
      </c>
      <c r="Z1">
        <v>26170.125677775701</v>
      </c>
      <c r="AA1">
        <v>4477.2883135643697</v>
      </c>
      <c r="AB1" t="s">
        <v>169</v>
      </c>
      <c r="AC1">
        <v>25679.070406614501</v>
      </c>
      <c r="AD1">
        <v>4484.0277759586497</v>
      </c>
      <c r="AE1" t="s">
        <v>170</v>
      </c>
      <c r="AF1">
        <v>23664.273625903101</v>
      </c>
      <c r="AG1">
        <v>4605.4444638697596</v>
      </c>
      <c r="AH1" t="s">
        <v>171</v>
      </c>
      <c r="AI1">
        <v>26645.091299354499</v>
      </c>
      <c r="AJ1">
        <v>4433.08211831276</v>
      </c>
      <c r="AK1" t="s">
        <v>172</v>
      </c>
      <c r="AL1">
        <v>25150.524364224199</v>
      </c>
      <c r="AM1">
        <v>4494.9711579033501</v>
      </c>
      <c r="AN1" t="s">
        <v>29</v>
      </c>
      <c r="AO1">
        <v>23669.8553831389</v>
      </c>
      <c r="AP1">
        <v>4598.5633468714204</v>
      </c>
      <c r="AQ1" t="s">
        <v>173</v>
      </c>
      <c r="AR1">
        <v>25155.750167103601</v>
      </c>
      <c r="AS1">
        <v>4484.1595888960301</v>
      </c>
      <c r="AT1" t="s">
        <v>11</v>
      </c>
      <c r="AU1">
        <v>22305.8994458085</v>
      </c>
      <c r="AV1">
        <v>5122.9117928715596</v>
      </c>
      <c r="AW1" t="s">
        <v>16</v>
      </c>
      <c r="AX1">
        <v>22310.540681449002</v>
      </c>
      <c r="AY1">
        <v>5092.0098458090597</v>
      </c>
      <c r="AZ1" t="s">
        <v>174</v>
      </c>
      <c r="BA1">
        <v>22397.003817851601</v>
      </c>
      <c r="BB1">
        <v>5078.04463439949</v>
      </c>
      <c r="BC1" t="s">
        <v>175</v>
      </c>
      <c r="BD1">
        <v>22277.300005840501</v>
      </c>
      <c r="BE1">
        <v>5146.8591295960096</v>
      </c>
      <c r="BF1" t="s">
        <v>176</v>
      </c>
      <c r="BG1">
        <v>25154.654965513801</v>
      </c>
      <c r="BH1">
        <v>4489.1798806484603</v>
      </c>
    </row>
    <row r="3" spans="1:60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60" x14ac:dyDescent="0.55000000000000004">
      <c r="B4">
        <f>1</f>
        <v>1</v>
      </c>
      <c r="C4" t="s">
        <v>163</v>
      </c>
      <c r="E4" t="str">
        <f>IF(B4=2,C4,"")</f>
        <v/>
      </c>
      <c r="F4" t="str">
        <f>IF(B4=3,C4,"")</f>
        <v/>
      </c>
      <c r="H4">
        <f>MIN(E4:E141)</f>
        <v>22271.399568675999</v>
      </c>
      <c r="I4">
        <f>MAX(E4:E141)</f>
        <v>26653.476867679601</v>
      </c>
      <c r="J4">
        <f>MIN(F4:F141)</f>
        <v>4426.1415734906896</v>
      </c>
      <c r="K4">
        <f>MAX(F4:F141)</f>
        <v>5151.0036478470802</v>
      </c>
      <c r="L4">
        <f>SUMIF(B4:B111,1)</f>
        <v>20</v>
      </c>
    </row>
    <row r="5" spans="1:60" x14ac:dyDescent="0.55000000000000004">
      <c r="B5">
        <f>IF(B4&lt;3,B4+1,1)</f>
        <v>2</v>
      </c>
      <c r="C5">
        <v>22271.399568675999</v>
      </c>
      <c r="E5">
        <f t="shared" ref="E5:E68" si="0">IF(B5=2,C5,"")</f>
        <v>22271.399568675999</v>
      </c>
      <c r="F5" t="str">
        <f t="shared" ref="F5:F68" si="1">IF(B5=3,C5,"")</f>
        <v/>
      </c>
    </row>
    <row r="6" spans="1:60" x14ac:dyDescent="0.55000000000000004">
      <c r="B6">
        <f t="shared" ref="B6:B69" si="2">IF(B5&lt;3,B5+1,1)</f>
        <v>3</v>
      </c>
      <c r="C6">
        <v>5151.0036478470802</v>
      </c>
      <c r="E6" t="str">
        <f t="shared" si="0"/>
        <v/>
      </c>
      <c r="F6">
        <f t="shared" si="1"/>
        <v>5151.0036478470802</v>
      </c>
    </row>
    <row r="7" spans="1:60" x14ac:dyDescent="0.55000000000000004">
      <c r="B7">
        <f t="shared" si="2"/>
        <v>1</v>
      </c>
      <c r="C7" t="s">
        <v>164</v>
      </c>
      <c r="E7" t="str">
        <f t="shared" si="0"/>
        <v/>
      </c>
      <c r="F7" t="str">
        <f t="shared" si="1"/>
        <v/>
      </c>
    </row>
    <row r="8" spans="1:60" x14ac:dyDescent="0.55000000000000004">
      <c r="B8">
        <f t="shared" si="2"/>
        <v>2</v>
      </c>
      <c r="C8">
        <v>26653.476867679601</v>
      </c>
      <c r="E8">
        <f t="shared" si="0"/>
        <v>26653.476867679601</v>
      </c>
      <c r="F8" t="str">
        <f t="shared" si="1"/>
        <v/>
      </c>
    </row>
    <row r="9" spans="1:60" x14ac:dyDescent="0.55000000000000004">
      <c r="B9">
        <f t="shared" si="2"/>
        <v>3</v>
      </c>
      <c r="C9">
        <v>4426.1415734906896</v>
      </c>
      <c r="E9" t="str">
        <f t="shared" si="0"/>
        <v/>
      </c>
      <c r="F9">
        <f t="shared" si="1"/>
        <v>4426.1415734906896</v>
      </c>
    </row>
    <row r="10" spans="1:60" x14ac:dyDescent="0.55000000000000004">
      <c r="B10">
        <f t="shared" si="2"/>
        <v>1</v>
      </c>
      <c r="C10" t="s">
        <v>21</v>
      </c>
      <c r="E10" t="str">
        <f t="shared" si="0"/>
        <v/>
      </c>
      <c r="F10" t="str">
        <f t="shared" si="1"/>
        <v/>
      </c>
    </row>
    <row r="11" spans="1:60" x14ac:dyDescent="0.55000000000000004">
      <c r="B11">
        <f t="shared" si="2"/>
        <v>2</v>
      </c>
      <c r="C11">
        <v>22751.037103027898</v>
      </c>
      <c r="E11">
        <f t="shared" si="0"/>
        <v>22751.037103027898</v>
      </c>
      <c r="F11" t="str">
        <f t="shared" si="1"/>
        <v/>
      </c>
    </row>
    <row r="12" spans="1:60" x14ac:dyDescent="0.55000000000000004">
      <c r="B12">
        <f t="shared" si="2"/>
        <v>3</v>
      </c>
      <c r="C12">
        <v>4811.5252635954002</v>
      </c>
      <c r="E12" t="str">
        <f t="shared" si="0"/>
        <v/>
      </c>
      <c r="F12">
        <f t="shared" si="1"/>
        <v>4811.5252635954002</v>
      </c>
    </row>
    <row r="13" spans="1:60" x14ac:dyDescent="0.55000000000000004">
      <c r="B13">
        <f t="shared" si="2"/>
        <v>1</v>
      </c>
      <c r="C13" t="s">
        <v>165</v>
      </c>
      <c r="E13" t="str">
        <f t="shared" si="0"/>
        <v/>
      </c>
      <c r="F13" t="str">
        <f t="shared" si="1"/>
        <v/>
      </c>
    </row>
    <row r="14" spans="1:60" x14ac:dyDescent="0.55000000000000004">
      <c r="B14">
        <f t="shared" si="2"/>
        <v>2</v>
      </c>
      <c r="C14">
        <v>22397.6317513104</v>
      </c>
      <c r="E14">
        <f t="shared" si="0"/>
        <v>22397.6317513104</v>
      </c>
      <c r="F14" t="str">
        <f t="shared" si="1"/>
        <v/>
      </c>
    </row>
    <row r="15" spans="1:60" x14ac:dyDescent="0.55000000000000004">
      <c r="B15">
        <f t="shared" si="2"/>
        <v>3</v>
      </c>
      <c r="C15">
        <v>5066.2732958664601</v>
      </c>
      <c r="E15" t="str">
        <f t="shared" si="0"/>
        <v/>
      </c>
      <c r="F15">
        <f t="shared" si="1"/>
        <v>5066.2732958664601</v>
      </c>
    </row>
    <row r="16" spans="1:60" x14ac:dyDescent="0.55000000000000004">
      <c r="B16">
        <f t="shared" si="2"/>
        <v>1</v>
      </c>
      <c r="C16" t="s">
        <v>166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23231.878292642901</v>
      </c>
      <c r="E17">
        <f t="shared" si="0"/>
        <v>23231.878292642901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4668.7417500735301</v>
      </c>
      <c r="E18" t="str">
        <f t="shared" si="0"/>
        <v/>
      </c>
      <c r="F18">
        <f t="shared" si="1"/>
        <v>4668.7417500735301</v>
      </c>
    </row>
    <row r="19" spans="2:6" x14ac:dyDescent="0.55000000000000004">
      <c r="B19">
        <f t="shared" si="2"/>
        <v>1</v>
      </c>
      <c r="C19" t="s">
        <v>167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24636.196134665399</v>
      </c>
      <c r="E20">
        <f t="shared" si="0"/>
        <v>24636.196134665399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4507.2921349758299</v>
      </c>
      <c r="E21" t="str">
        <f t="shared" si="0"/>
        <v/>
      </c>
      <c r="F21">
        <f t="shared" si="1"/>
        <v>4507.2921349758299</v>
      </c>
    </row>
    <row r="22" spans="2:6" x14ac:dyDescent="0.55000000000000004">
      <c r="B22">
        <f t="shared" si="2"/>
        <v>1</v>
      </c>
      <c r="C22" t="s">
        <v>26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24159.444844698199</v>
      </c>
      <c r="E23">
        <f t="shared" si="0"/>
        <v>24159.444844698199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4590.33414099521</v>
      </c>
      <c r="E24" t="str">
        <f t="shared" si="0"/>
        <v/>
      </c>
      <c r="F24">
        <f t="shared" si="1"/>
        <v>4590.33414099521</v>
      </c>
    </row>
    <row r="25" spans="2:6" x14ac:dyDescent="0.55000000000000004">
      <c r="B25">
        <f t="shared" si="2"/>
        <v>1</v>
      </c>
      <c r="C25" t="s">
        <v>24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22829.585302485899</v>
      </c>
      <c r="E26">
        <f t="shared" si="0"/>
        <v>22829.585302485899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4781.7229413722298</v>
      </c>
      <c r="E27" t="str">
        <f t="shared" si="0"/>
        <v/>
      </c>
      <c r="F27">
        <f t="shared" si="1"/>
        <v>4781.7229413722298</v>
      </c>
    </row>
    <row r="28" spans="2:6" x14ac:dyDescent="0.55000000000000004">
      <c r="B28">
        <f t="shared" si="2"/>
        <v>1</v>
      </c>
      <c r="C28" t="s">
        <v>168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26170.125677775701</v>
      </c>
      <c r="E29">
        <f t="shared" si="0"/>
        <v>26170.125677775701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4477.2883135643697</v>
      </c>
      <c r="E30" t="str">
        <f t="shared" si="0"/>
        <v/>
      </c>
      <c r="F30">
        <f t="shared" si="1"/>
        <v>4477.2883135643697</v>
      </c>
    </row>
    <row r="31" spans="2:6" x14ac:dyDescent="0.55000000000000004">
      <c r="B31">
        <f t="shared" si="2"/>
        <v>1</v>
      </c>
      <c r="C31" t="s">
        <v>169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25679.070406614501</v>
      </c>
      <c r="E32">
        <f t="shared" si="0"/>
        <v>25679.070406614501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4484.0277759586497</v>
      </c>
      <c r="E33" t="str">
        <f t="shared" si="0"/>
        <v/>
      </c>
      <c r="F33">
        <f t="shared" si="1"/>
        <v>4484.0277759586497</v>
      </c>
    </row>
    <row r="34" spans="2:6" x14ac:dyDescent="0.55000000000000004">
      <c r="B34">
        <f t="shared" si="2"/>
        <v>1</v>
      </c>
      <c r="C34" t="s">
        <v>170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23664.273625903101</v>
      </c>
      <c r="E35">
        <f t="shared" si="0"/>
        <v>23664.273625903101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4605.4444638697596</v>
      </c>
      <c r="E36" t="str">
        <f t="shared" si="0"/>
        <v/>
      </c>
      <c r="F36">
        <f t="shared" si="1"/>
        <v>4605.4444638697596</v>
      </c>
    </row>
    <row r="37" spans="2:6" x14ac:dyDescent="0.55000000000000004">
      <c r="B37">
        <f t="shared" si="2"/>
        <v>1</v>
      </c>
      <c r="C37" t="s">
        <v>171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26645.091299354499</v>
      </c>
      <c r="E38">
        <f t="shared" si="0"/>
        <v>26645.091299354499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4433.08211831276</v>
      </c>
      <c r="E39" t="str">
        <f t="shared" si="0"/>
        <v/>
      </c>
      <c r="F39">
        <f t="shared" si="1"/>
        <v>4433.08211831276</v>
      </c>
    </row>
    <row r="40" spans="2:6" x14ac:dyDescent="0.55000000000000004">
      <c r="B40">
        <f t="shared" si="2"/>
        <v>1</v>
      </c>
      <c r="C40" t="s">
        <v>172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25150.524364224199</v>
      </c>
      <c r="E41">
        <f t="shared" si="0"/>
        <v>25150.524364224199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4494.9711579033501</v>
      </c>
      <c r="E42" t="str">
        <f t="shared" si="0"/>
        <v/>
      </c>
      <c r="F42">
        <f t="shared" si="1"/>
        <v>4494.9711579033501</v>
      </c>
    </row>
    <row r="43" spans="2:6" x14ac:dyDescent="0.55000000000000004">
      <c r="B43">
        <f t="shared" si="2"/>
        <v>1</v>
      </c>
      <c r="C43" t="s">
        <v>29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23669.8553831389</v>
      </c>
      <c r="E44">
        <f t="shared" si="0"/>
        <v>23669.8553831389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4598.5633468714204</v>
      </c>
      <c r="E45" t="str">
        <f t="shared" si="0"/>
        <v/>
      </c>
      <c r="F45">
        <f t="shared" si="1"/>
        <v>4598.5633468714204</v>
      </c>
    </row>
    <row r="46" spans="2:6" x14ac:dyDescent="0.55000000000000004">
      <c r="B46">
        <f t="shared" si="2"/>
        <v>1</v>
      </c>
      <c r="C46" t="s">
        <v>173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25155.750167103601</v>
      </c>
      <c r="E47">
        <f t="shared" si="0"/>
        <v>25155.750167103601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4484.1595888960301</v>
      </c>
      <c r="E48" t="str">
        <f t="shared" si="0"/>
        <v/>
      </c>
      <c r="F48">
        <f t="shared" si="1"/>
        <v>4484.1595888960301</v>
      </c>
    </row>
    <row r="49" spans="2:6" x14ac:dyDescent="0.55000000000000004">
      <c r="B49">
        <f t="shared" si="2"/>
        <v>1</v>
      </c>
      <c r="C49" t="s">
        <v>11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22305.8994458085</v>
      </c>
      <c r="E50">
        <f t="shared" si="0"/>
        <v>22305.8994458085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5122.9117928715596</v>
      </c>
      <c r="E51" t="str">
        <f t="shared" si="0"/>
        <v/>
      </c>
      <c r="F51">
        <f t="shared" si="1"/>
        <v>5122.9117928715596</v>
      </c>
    </row>
    <row r="52" spans="2:6" x14ac:dyDescent="0.55000000000000004">
      <c r="B52">
        <f t="shared" si="2"/>
        <v>1</v>
      </c>
      <c r="C52" t="s">
        <v>16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22310.540681449002</v>
      </c>
      <c r="E53">
        <f t="shared" si="0"/>
        <v>22310.540681449002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5092.0098458090597</v>
      </c>
      <c r="E54" t="str">
        <f t="shared" si="0"/>
        <v/>
      </c>
      <c r="F54">
        <f t="shared" si="1"/>
        <v>5092.0098458090597</v>
      </c>
    </row>
    <row r="55" spans="2:6" x14ac:dyDescent="0.55000000000000004">
      <c r="B55">
        <f t="shared" si="2"/>
        <v>1</v>
      </c>
      <c r="C55" t="s">
        <v>174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22397.003817851601</v>
      </c>
      <c r="E56">
        <f t="shared" si="0"/>
        <v>22397.003817851601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5078.04463439949</v>
      </c>
      <c r="E57" t="str">
        <f t="shared" si="0"/>
        <v/>
      </c>
      <c r="F57">
        <f t="shared" si="1"/>
        <v>5078.04463439949</v>
      </c>
    </row>
    <row r="58" spans="2:6" x14ac:dyDescent="0.55000000000000004">
      <c r="B58">
        <f t="shared" si="2"/>
        <v>1</v>
      </c>
      <c r="C58" t="s">
        <v>175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22277.300005840501</v>
      </c>
      <c r="E59">
        <f t="shared" si="0"/>
        <v>22277.300005840501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5146.8591295960096</v>
      </c>
      <c r="E60" t="str">
        <f t="shared" si="0"/>
        <v/>
      </c>
      <c r="F60">
        <f t="shared" si="1"/>
        <v>5146.8591295960096</v>
      </c>
    </row>
    <row r="61" spans="2:6" x14ac:dyDescent="0.55000000000000004">
      <c r="B61">
        <f t="shared" si="2"/>
        <v>1</v>
      </c>
      <c r="C61" t="s">
        <v>176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25154.654965513801</v>
      </c>
      <c r="E62">
        <f t="shared" si="0"/>
        <v>25154.654965513801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4489.1798806484603</v>
      </c>
      <c r="E63" t="str">
        <f t="shared" si="0"/>
        <v/>
      </c>
      <c r="F63">
        <f t="shared" si="1"/>
        <v>4489.1798806484603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24EA-DB49-4AA0-818B-E9F19EF3791F}">
  <dimension ref="A1:EQ150"/>
  <sheetViews>
    <sheetView workbookViewId="0">
      <selection activeCell="H23" sqref="H23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47" x14ac:dyDescent="0.55000000000000004">
      <c r="A1" t="s">
        <v>177</v>
      </c>
      <c r="B1">
        <v>22017.241658152299</v>
      </c>
      <c r="C1">
        <v>4894.4748998569903</v>
      </c>
      <c r="D1" t="s">
        <v>178</v>
      </c>
      <c r="E1">
        <v>30432.489712226699</v>
      </c>
      <c r="F1">
        <v>3965.3801610655901</v>
      </c>
      <c r="G1" t="s">
        <v>179</v>
      </c>
      <c r="H1">
        <v>27903.921853982902</v>
      </c>
      <c r="I1">
        <v>4112.5202669955997</v>
      </c>
      <c r="J1" t="s">
        <v>180</v>
      </c>
      <c r="K1">
        <v>22970.216960449299</v>
      </c>
      <c r="L1">
        <v>4548.4923672770301</v>
      </c>
      <c r="M1" t="s">
        <v>181</v>
      </c>
      <c r="N1">
        <v>26874.488842590799</v>
      </c>
      <c r="O1">
        <v>4113.4836969257003</v>
      </c>
      <c r="P1" t="s">
        <v>182</v>
      </c>
      <c r="Q1">
        <v>26361.918507108301</v>
      </c>
      <c r="R1">
        <v>4142.47491948262</v>
      </c>
      <c r="S1" t="s">
        <v>183</v>
      </c>
      <c r="T1">
        <v>22634.125622962802</v>
      </c>
      <c r="U1">
        <v>4663.8404371985998</v>
      </c>
      <c r="V1" t="s">
        <v>184</v>
      </c>
      <c r="W1">
        <v>28927.294448043001</v>
      </c>
      <c r="X1">
        <v>4026.3913152364998</v>
      </c>
      <c r="Y1" t="s">
        <v>185</v>
      </c>
      <c r="Z1">
        <v>29427.380431327201</v>
      </c>
      <c r="AA1">
        <v>4002.3225627644101</v>
      </c>
      <c r="AB1" t="s">
        <v>186</v>
      </c>
      <c r="AC1">
        <v>28393.751105313801</v>
      </c>
      <c r="AD1">
        <v>4036.50280283961</v>
      </c>
      <c r="AE1" t="s">
        <v>187</v>
      </c>
      <c r="AF1">
        <v>25880.5056825912</v>
      </c>
      <c r="AG1">
        <v>4185.2683708303302</v>
      </c>
      <c r="AH1" t="s">
        <v>188</v>
      </c>
      <c r="AI1">
        <v>24403.105082410701</v>
      </c>
      <c r="AJ1">
        <v>4333.4775448350001</v>
      </c>
      <c r="AK1" t="s">
        <v>189</v>
      </c>
      <c r="AL1">
        <v>23490.056492207601</v>
      </c>
      <c r="AM1">
        <v>4403.7521278129398</v>
      </c>
      <c r="AN1" t="s">
        <v>190</v>
      </c>
      <c r="AO1">
        <v>23906.83966012</v>
      </c>
      <c r="AP1">
        <v>4349.0684003199904</v>
      </c>
      <c r="AQ1" t="s">
        <v>191</v>
      </c>
      <c r="AR1">
        <v>25387.1896797033</v>
      </c>
      <c r="AS1">
        <v>4268.0828904726204</v>
      </c>
      <c r="AT1" t="s">
        <v>192</v>
      </c>
      <c r="AU1">
        <v>22580.350788900199</v>
      </c>
      <c r="AV1">
        <v>4713.24145098184</v>
      </c>
      <c r="AW1" t="s">
        <v>193</v>
      </c>
      <c r="AX1">
        <v>22049.283670876499</v>
      </c>
      <c r="AY1">
        <v>4891.7226998754904</v>
      </c>
      <c r="AZ1" t="s">
        <v>16</v>
      </c>
      <c r="BA1">
        <v>22141.5107700771</v>
      </c>
      <c r="BB1">
        <v>4822.3272820787797</v>
      </c>
      <c r="BC1" t="s">
        <v>22</v>
      </c>
      <c r="BD1">
        <v>25872.6548369419</v>
      </c>
      <c r="BE1">
        <v>4212.1702093739696</v>
      </c>
      <c r="BF1" t="s">
        <v>194</v>
      </c>
      <c r="BG1">
        <v>29965.737087817601</v>
      </c>
      <c r="BH1">
        <v>3995.1113271558202</v>
      </c>
      <c r="BI1" t="s">
        <v>195</v>
      </c>
      <c r="BJ1">
        <v>23038.066135439101</v>
      </c>
      <c r="BK1">
        <v>4483.82723420611</v>
      </c>
      <c r="BL1" t="s">
        <v>196</v>
      </c>
      <c r="BM1">
        <v>22285.953853678198</v>
      </c>
      <c r="BN1">
        <v>4761.78258456816</v>
      </c>
      <c r="BO1" t="s">
        <v>197</v>
      </c>
      <c r="BP1">
        <v>23439.718317545099</v>
      </c>
      <c r="BQ1">
        <v>4464.6835675544899</v>
      </c>
      <c r="BR1" t="s">
        <v>198</v>
      </c>
      <c r="BS1">
        <v>23034.179979645702</v>
      </c>
      <c r="BT1">
        <v>4503.6922582703801</v>
      </c>
      <c r="BU1" t="s">
        <v>199</v>
      </c>
      <c r="BV1">
        <v>23899.1803716004</v>
      </c>
      <c r="BW1">
        <v>4386.96740501153</v>
      </c>
      <c r="BX1" t="s">
        <v>200</v>
      </c>
      <c r="BY1">
        <v>28397.737379903199</v>
      </c>
      <c r="BZ1">
        <v>4035.4769739702801</v>
      </c>
      <c r="CA1" t="s">
        <v>201</v>
      </c>
      <c r="CB1">
        <v>29944.203789057101</v>
      </c>
      <c r="CC1">
        <v>3995.6609673471899</v>
      </c>
      <c r="CD1" t="s">
        <v>202</v>
      </c>
      <c r="CE1">
        <v>23451.173499173899</v>
      </c>
      <c r="CF1">
        <v>4449.9511198840401</v>
      </c>
      <c r="CG1" t="s">
        <v>17</v>
      </c>
      <c r="CH1">
        <v>25403.1402837362</v>
      </c>
      <c r="CI1">
        <v>4216.8112474745103</v>
      </c>
      <c r="CJ1" t="s">
        <v>203</v>
      </c>
      <c r="CK1">
        <v>24925.267095543801</v>
      </c>
      <c r="CL1">
        <v>4284.5984431772004</v>
      </c>
      <c r="CM1" t="s">
        <v>204</v>
      </c>
      <c r="CN1">
        <v>24944.6672369521</v>
      </c>
      <c r="CO1">
        <v>4270.6033974229704</v>
      </c>
      <c r="CP1" t="s">
        <v>205</v>
      </c>
      <c r="CQ1">
        <v>24419.395829452402</v>
      </c>
      <c r="CR1">
        <v>4289.4695659446497</v>
      </c>
      <c r="CS1" t="s">
        <v>15</v>
      </c>
      <c r="CT1">
        <v>24419.319907564401</v>
      </c>
      <c r="CU1">
        <v>4290.0512767946702</v>
      </c>
      <c r="CV1" t="s">
        <v>19</v>
      </c>
      <c r="CW1">
        <v>22599.221593730501</v>
      </c>
      <c r="CX1">
        <v>4694.4953026251696</v>
      </c>
      <c r="CY1" t="s">
        <v>206</v>
      </c>
      <c r="CZ1">
        <v>25400.8516748211</v>
      </c>
      <c r="DA1">
        <v>4230.6314217200097</v>
      </c>
      <c r="DB1" t="s">
        <v>207</v>
      </c>
      <c r="DC1">
        <v>22243.0944245506</v>
      </c>
      <c r="DD1">
        <v>4771.49963448162</v>
      </c>
      <c r="DE1" t="s">
        <v>128</v>
      </c>
      <c r="DF1">
        <v>23899.415011008699</v>
      </c>
      <c r="DG1">
        <v>4380.2238196938297</v>
      </c>
      <c r="DH1" t="s">
        <v>208</v>
      </c>
      <c r="DI1">
        <v>22215.248657902601</v>
      </c>
      <c r="DJ1">
        <v>4797.5551091467196</v>
      </c>
      <c r="DK1" t="s">
        <v>209</v>
      </c>
      <c r="DL1">
        <v>22630.704035365801</v>
      </c>
      <c r="DM1">
        <v>4666.67359442827</v>
      </c>
      <c r="DN1" t="s">
        <v>210</v>
      </c>
      <c r="DO1">
        <v>22584.5357400418</v>
      </c>
      <c r="DP1">
        <v>4705.2757640432601</v>
      </c>
      <c r="DQ1" t="s">
        <v>211</v>
      </c>
      <c r="DR1">
        <v>22150.927335290799</v>
      </c>
      <c r="DS1">
        <v>4799.0720897970295</v>
      </c>
      <c r="DT1" t="s">
        <v>212</v>
      </c>
      <c r="DU1">
        <v>22145.045707133198</v>
      </c>
      <c r="DV1">
        <v>4809.2932361396597</v>
      </c>
      <c r="DW1" t="s">
        <v>213</v>
      </c>
      <c r="DX1">
        <v>24929.491211021901</v>
      </c>
      <c r="DY1">
        <v>4281.3234696809404</v>
      </c>
      <c r="DZ1" t="s">
        <v>214</v>
      </c>
      <c r="EA1">
        <v>25402.598154129799</v>
      </c>
      <c r="EB1">
        <v>4226.43418680372</v>
      </c>
      <c r="EC1" t="s">
        <v>215</v>
      </c>
      <c r="ED1">
        <v>22268.6003334821</v>
      </c>
      <c r="EE1">
        <v>4764.1179949447296</v>
      </c>
      <c r="EF1" t="s">
        <v>10</v>
      </c>
      <c r="EG1">
        <v>22143.996258643201</v>
      </c>
      <c r="EH1">
        <v>4817.4017387358699</v>
      </c>
      <c r="EI1" t="s">
        <v>216</v>
      </c>
      <c r="EJ1">
        <v>22143.662678421799</v>
      </c>
      <c r="EK1">
        <v>4817.4263758793804</v>
      </c>
      <c r="EL1" t="s">
        <v>217</v>
      </c>
      <c r="EM1">
        <v>22274.946373599701</v>
      </c>
      <c r="EN1">
        <v>4762.6485247290302</v>
      </c>
      <c r="EO1" t="s">
        <v>218</v>
      </c>
      <c r="EP1">
        <v>28395.520946582401</v>
      </c>
      <c r="EQ1">
        <v>4035.62058352549</v>
      </c>
    </row>
    <row r="3" spans="1:147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147" x14ac:dyDescent="0.55000000000000004">
      <c r="B4">
        <f>1</f>
        <v>1</v>
      </c>
      <c r="C4" t="s">
        <v>177</v>
      </c>
      <c r="E4" t="str">
        <f>IF(B4=2,C4,"")</f>
        <v/>
      </c>
      <c r="F4" t="str">
        <f>IF(B4=3,C4,"")</f>
        <v/>
      </c>
      <c r="H4">
        <f>MIN(E4:E150)</f>
        <v>22017.241658152299</v>
      </c>
      <c r="I4">
        <f>MAX(E4:E150)</f>
        <v>30432.489712226699</v>
      </c>
      <c r="J4">
        <f>MIN(F4:F150)</f>
        <v>3965.3801610655901</v>
      </c>
      <c r="K4">
        <f>MAX(F4:F150)</f>
        <v>4894.4748998569903</v>
      </c>
      <c r="L4">
        <f>SUMIF(B4:B150,1)</f>
        <v>49</v>
      </c>
    </row>
    <row r="5" spans="1:147" x14ac:dyDescent="0.55000000000000004">
      <c r="B5">
        <f>IF(B4&lt;3,B4+1,1)</f>
        <v>2</v>
      </c>
      <c r="C5">
        <v>22017.241658152299</v>
      </c>
      <c r="E5">
        <f t="shared" ref="E5:E68" si="0">IF(B5=2,C5,"")</f>
        <v>22017.241658152299</v>
      </c>
      <c r="F5" t="str">
        <f t="shared" ref="F5:F68" si="1">IF(B5=3,C5,"")</f>
        <v/>
      </c>
    </row>
    <row r="6" spans="1:147" x14ac:dyDescent="0.55000000000000004">
      <c r="B6">
        <f t="shared" ref="B6:B69" si="2">IF(B5&lt;3,B5+1,1)</f>
        <v>3</v>
      </c>
      <c r="C6">
        <v>4894.4748998569903</v>
      </c>
      <c r="E6" t="str">
        <f t="shared" si="0"/>
        <v/>
      </c>
      <c r="F6">
        <f t="shared" si="1"/>
        <v>4894.4748998569903</v>
      </c>
    </row>
    <row r="7" spans="1:147" x14ac:dyDescent="0.55000000000000004">
      <c r="B7">
        <f t="shared" si="2"/>
        <v>1</v>
      </c>
      <c r="C7" t="s">
        <v>178</v>
      </c>
      <c r="E7" t="str">
        <f t="shared" si="0"/>
        <v/>
      </c>
      <c r="F7" t="str">
        <f t="shared" si="1"/>
        <v/>
      </c>
    </row>
    <row r="8" spans="1:147" x14ac:dyDescent="0.55000000000000004">
      <c r="B8">
        <f t="shared" si="2"/>
        <v>2</v>
      </c>
      <c r="C8">
        <v>30432.489712226699</v>
      </c>
      <c r="E8">
        <f t="shared" si="0"/>
        <v>30432.489712226699</v>
      </c>
      <c r="F8" t="str">
        <f t="shared" si="1"/>
        <v/>
      </c>
    </row>
    <row r="9" spans="1:147" x14ac:dyDescent="0.55000000000000004">
      <c r="B9">
        <f t="shared" si="2"/>
        <v>3</v>
      </c>
      <c r="C9">
        <v>3965.3801610655901</v>
      </c>
      <c r="E9" t="str">
        <f t="shared" si="0"/>
        <v/>
      </c>
      <c r="F9">
        <f t="shared" si="1"/>
        <v>3965.3801610655901</v>
      </c>
    </row>
    <row r="10" spans="1:147" x14ac:dyDescent="0.55000000000000004">
      <c r="B10">
        <f t="shared" si="2"/>
        <v>1</v>
      </c>
      <c r="C10" t="s">
        <v>179</v>
      </c>
      <c r="E10" t="str">
        <f t="shared" si="0"/>
        <v/>
      </c>
      <c r="F10" t="str">
        <f t="shared" si="1"/>
        <v/>
      </c>
    </row>
    <row r="11" spans="1:147" x14ac:dyDescent="0.55000000000000004">
      <c r="B11">
        <f t="shared" si="2"/>
        <v>2</v>
      </c>
      <c r="C11">
        <v>27903.921853982902</v>
      </c>
      <c r="E11">
        <f t="shared" si="0"/>
        <v>27903.921853982902</v>
      </c>
      <c r="F11" t="str">
        <f t="shared" si="1"/>
        <v/>
      </c>
    </row>
    <row r="12" spans="1:147" x14ac:dyDescent="0.55000000000000004">
      <c r="B12">
        <f t="shared" si="2"/>
        <v>3</v>
      </c>
      <c r="C12">
        <v>4112.5202669955997</v>
      </c>
      <c r="E12" t="str">
        <f t="shared" si="0"/>
        <v/>
      </c>
      <c r="F12">
        <f t="shared" si="1"/>
        <v>4112.5202669955997</v>
      </c>
    </row>
    <row r="13" spans="1:147" x14ac:dyDescent="0.55000000000000004">
      <c r="B13">
        <f t="shared" si="2"/>
        <v>1</v>
      </c>
      <c r="C13" t="s">
        <v>180</v>
      </c>
      <c r="E13" t="str">
        <f t="shared" si="0"/>
        <v/>
      </c>
      <c r="F13" t="str">
        <f t="shared" si="1"/>
        <v/>
      </c>
    </row>
    <row r="14" spans="1:147" x14ac:dyDescent="0.55000000000000004">
      <c r="B14">
        <f t="shared" si="2"/>
        <v>2</v>
      </c>
      <c r="C14">
        <v>22970.216960449299</v>
      </c>
      <c r="E14">
        <f t="shared" si="0"/>
        <v>22970.216960449299</v>
      </c>
      <c r="F14" t="str">
        <f t="shared" si="1"/>
        <v/>
      </c>
    </row>
    <row r="15" spans="1:147" x14ac:dyDescent="0.55000000000000004">
      <c r="B15">
        <f t="shared" si="2"/>
        <v>3</v>
      </c>
      <c r="C15">
        <v>4548.4923672770301</v>
      </c>
      <c r="E15" t="str">
        <f t="shared" si="0"/>
        <v/>
      </c>
      <c r="F15">
        <f t="shared" si="1"/>
        <v>4548.4923672770301</v>
      </c>
    </row>
    <row r="16" spans="1:147" x14ac:dyDescent="0.55000000000000004">
      <c r="B16">
        <f t="shared" si="2"/>
        <v>1</v>
      </c>
      <c r="C16" t="s">
        <v>181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26874.488842590799</v>
      </c>
      <c r="E17">
        <f t="shared" si="0"/>
        <v>26874.488842590799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4113.4836969257003</v>
      </c>
      <c r="E18" t="str">
        <f t="shared" si="0"/>
        <v/>
      </c>
      <c r="F18">
        <f t="shared" si="1"/>
        <v>4113.4836969257003</v>
      </c>
    </row>
    <row r="19" spans="2:6" x14ac:dyDescent="0.55000000000000004">
      <c r="B19">
        <f t="shared" si="2"/>
        <v>1</v>
      </c>
      <c r="C19" t="s">
        <v>182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26361.918507108301</v>
      </c>
      <c r="E20">
        <f t="shared" si="0"/>
        <v>26361.918507108301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4142.47491948262</v>
      </c>
      <c r="E21" t="str">
        <f t="shared" si="0"/>
        <v/>
      </c>
      <c r="F21">
        <f t="shared" si="1"/>
        <v>4142.47491948262</v>
      </c>
    </row>
    <row r="22" spans="2:6" x14ac:dyDescent="0.55000000000000004">
      <c r="B22">
        <f t="shared" si="2"/>
        <v>1</v>
      </c>
      <c r="C22" t="s">
        <v>183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22634.125622962802</v>
      </c>
      <c r="E23">
        <f t="shared" si="0"/>
        <v>22634.125622962802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4663.8404371985998</v>
      </c>
      <c r="E24" t="str">
        <f t="shared" si="0"/>
        <v/>
      </c>
      <c r="F24">
        <f t="shared" si="1"/>
        <v>4663.8404371985998</v>
      </c>
    </row>
    <row r="25" spans="2:6" x14ac:dyDescent="0.55000000000000004">
      <c r="B25">
        <f t="shared" si="2"/>
        <v>1</v>
      </c>
      <c r="C25" t="s">
        <v>184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28927.294448043001</v>
      </c>
      <c r="E26">
        <f t="shared" si="0"/>
        <v>28927.294448043001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4026.3913152364998</v>
      </c>
      <c r="E27" t="str">
        <f t="shared" si="0"/>
        <v/>
      </c>
      <c r="F27">
        <f t="shared" si="1"/>
        <v>4026.3913152364998</v>
      </c>
    </row>
    <row r="28" spans="2:6" x14ac:dyDescent="0.55000000000000004">
      <c r="B28">
        <f t="shared" si="2"/>
        <v>1</v>
      </c>
      <c r="C28" t="s">
        <v>185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29427.380431327201</v>
      </c>
      <c r="E29">
        <f t="shared" si="0"/>
        <v>29427.380431327201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4002.3225627644101</v>
      </c>
      <c r="E30" t="str">
        <f t="shared" si="0"/>
        <v/>
      </c>
      <c r="F30">
        <f t="shared" si="1"/>
        <v>4002.3225627644101</v>
      </c>
    </row>
    <row r="31" spans="2:6" x14ac:dyDescent="0.55000000000000004">
      <c r="B31">
        <f t="shared" si="2"/>
        <v>1</v>
      </c>
      <c r="C31" t="s">
        <v>186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28393.751105313801</v>
      </c>
      <c r="E32">
        <f t="shared" si="0"/>
        <v>28393.751105313801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4036.50280283961</v>
      </c>
      <c r="E33" t="str">
        <f t="shared" si="0"/>
        <v/>
      </c>
      <c r="F33">
        <f t="shared" si="1"/>
        <v>4036.50280283961</v>
      </c>
    </row>
    <row r="34" spans="2:6" x14ac:dyDescent="0.55000000000000004">
      <c r="B34">
        <f t="shared" si="2"/>
        <v>1</v>
      </c>
      <c r="C34" t="s">
        <v>187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25880.5056825912</v>
      </c>
      <c r="E35">
        <f t="shared" si="0"/>
        <v>25880.5056825912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4185.2683708303302</v>
      </c>
      <c r="E36" t="str">
        <f t="shared" si="0"/>
        <v/>
      </c>
      <c r="F36">
        <f t="shared" si="1"/>
        <v>4185.2683708303302</v>
      </c>
    </row>
    <row r="37" spans="2:6" x14ac:dyDescent="0.55000000000000004">
      <c r="B37">
        <f t="shared" si="2"/>
        <v>1</v>
      </c>
      <c r="C37" t="s">
        <v>188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24403.105082410701</v>
      </c>
      <c r="E38">
        <f t="shared" si="0"/>
        <v>24403.105082410701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4333.4775448350001</v>
      </c>
      <c r="E39" t="str">
        <f t="shared" si="0"/>
        <v/>
      </c>
      <c r="F39">
        <f t="shared" si="1"/>
        <v>4333.4775448350001</v>
      </c>
    </row>
    <row r="40" spans="2:6" x14ac:dyDescent="0.55000000000000004">
      <c r="B40">
        <f t="shared" si="2"/>
        <v>1</v>
      </c>
      <c r="C40" t="s">
        <v>189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23490.056492207601</v>
      </c>
      <c r="E41">
        <f t="shared" si="0"/>
        <v>23490.056492207601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4403.7521278129398</v>
      </c>
      <c r="E42" t="str">
        <f t="shared" si="0"/>
        <v/>
      </c>
      <c r="F42">
        <f t="shared" si="1"/>
        <v>4403.7521278129398</v>
      </c>
    </row>
    <row r="43" spans="2:6" x14ac:dyDescent="0.55000000000000004">
      <c r="B43">
        <f t="shared" si="2"/>
        <v>1</v>
      </c>
      <c r="C43" t="s">
        <v>190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23906.83966012</v>
      </c>
      <c r="E44">
        <f t="shared" si="0"/>
        <v>23906.83966012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4349.0684003199904</v>
      </c>
      <c r="E45" t="str">
        <f t="shared" si="0"/>
        <v/>
      </c>
      <c r="F45">
        <f t="shared" si="1"/>
        <v>4349.0684003199904</v>
      </c>
    </row>
    <row r="46" spans="2:6" x14ac:dyDescent="0.55000000000000004">
      <c r="B46">
        <f t="shared" si="2"/>
        <v>1</v>
      </c>
      <c r="C46" t="s">
        <v>191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25387.1896797033</v>
      </c>
      <c r="E47">
        <f t="shared" si="0"/>
        <v>25387.1896797033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4268.0828904726204</v>
      </c>
      <c r="E48" t="str">
        <f t="shared" si="0"/>
        <v/>
      </c>
      <c r="F48">
        <f t="shared" si="1"/>
        <v>4268.0828904726204</v>
      </c>
    </row>
    <row r="49" spans="2:6" x14ac:dyDescent="0.55000000000000004">
      <c r="B49">
        <f t="shared" si="2"/>
        <v>1</v>
      </c>
      <c r="C49" t="s">
        <v>192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22580.350788900199</v>
      </c>
      <c r="E50">
        <f t="shared" si="0"/>
        <v>22580.350788900199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4713.24145098184</v>
      </c>
      <c r="E51" t="str">
        <f t="shared" si="0"/>
        <v/>
      </c>
      <c r="F51">
        <f t="shared" si="1"/>
        <v>4713.24145098184</v>
      </c>
    </row>
    <row r="52" spans="2:6" x14ac:dyDescent="0.55000000000000004">
      <c r="B52">
        <f t="shared" si="2"/>
        <v>1</v>
      </c>
      <c r="C52" t="s">
        <v>193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22049.283670876499</v>
      </c>
      <c r="E53">
        <f t="shared" si="0"/>
        <v>22049.283670876499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4891.7226998754904</v>
      </c>
      <c r="E54" t="str">
        <f t="shared" si="0"/>
        <v/>
      </c>
      <c r="F54">
        <f t="shared" si="1"/>
        <v>4891.7226998754904</v>
      </c>
    </row>
    <row r="55" spans="2:6" x14ac:dyDescent="0.55000000000000004">
      <c r="B55">
        <f t="shared" si="2"/>
        <v>1</v>
      </c>
      <c r="C55" t="s">
        <v>16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22141.5107700771</v>
      </c>
      <c r="E56">
        <f t="shared" si="0"/>
        <v>22141.5107700771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4822.3272820787797</v>
      </c>
      <c r="E57" t="str">
        <f t="shared" si="0"/>
        <v/>
      </c>
      <c r="F57">
        <f t="shared" si="1"/>
        <v>4822.3272820787797</v>
      </c>
    </row>
    <row r="58" spans="2:6" x14ac:dyDescent="0.55000000000000004">
      <c r="B58">
        <f t="shared" si="2"/>
        <v>1</v>
      </c>
      <c r="C58" t="s">
        <v>22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25872.6548369419</v>
      </c>
      <c r="E59">
        <f t="shared" si="0"/>
        <v>25872.6548369419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4212.1702093739696</v>
      </c>
      <c r="E60" t="str">
        <f t="shared" si="0"/>
        <v/>
      </c>
      <c r="F60">
        <f t="shared" si="1"/>
        <v>4212.1702093739696</v>
      </c>
    </row>
    <row r="61" spans="2:6" x14ac:dyDescent="0.55000000000000004">
      <c r="B61">
        <f t="shared" si="2"/>
        <v>1</v>
      </c>
      <c r="C61" t="s">
        <v>194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29965.737087817601</v>
      </c>
      <c r="E62">
        <f t="shared" si="0"/>
        <v>29965.737087817601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3995.1113271558202</v>
      </c>
      <c r="E63" t="str">
        <f t="shared" si="0"/>
        <v/>
      </c>
      <c r="F63">
        <f t="shared" si="1"/>
        <v>3995.1113271558202</v>
      </c>
    </row>
    <row r="64" spans="2:6" x14ac:dyDescent="0.55000000000000004">
      <c r="B64">
        <f t="shared" si="2"/>
        <v>1</v>
      </c>
      <c r="C64" t="s">
        <v>195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23038.066135439101</v>
      </c>
      <c r="E65">
        <f t="shared" si="0"/>
        <v>23038.066135439101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4483.82723420611</v>
      </c>
      <c r="E66" t="str">
        <f t="shared" si="0"/>
        <v/>
      </c>
      <c r="F66">
        <f t="shared" si="1"/>
        <v>4483.82723420611</v>
      </c>
    </row>
    <row r="67" spans="2:6" x14ac:dyDescent="0.55000000000000004">
      <c r="B67">
        <f t="shared" si="2"/>
        <v>1</v>
      </c>
      <c r="C67" t="s">
        <v>196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22285.953853678198</v>
      </c>
      <c r="E68">
        <f t="shared" si="0"/>
        <v>22285.953853678198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4761.78258456816</v>
      </c>
      <c r="E69" t="str">
        <f t="shared" ref="E69:E132" si="3">IF(B69=2,C69,"")</f>
        <v/>
      </c>
      <c r="F69">
        <f t="shared" ref="F69:F132" si="4">IF(B69=3,C69,"")</f>
        <v>4761.78258456816</v>
      </c>
    </row>
    <row r="70" spans="2:6" x14ac:dyDescent="0.55000000000000004">
      <c r="B70">
        <f t="shared" ref="B70:B133" si="5">IF(B69&lt;3,B69+1,1)</f>
        <v>1</v>
      </c>
      <c r="C70" t="s">
        <v>197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23439.718317545099</v>
      </c>
      <c r="E71">
        <f t="shared" si="3"/>
        <v>23439.718317545099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4464.6835675544899</v>
      </c>
      <c r="E72" t="str">
        <f t="shared" si="3"/>
        <v/>
      </c>
      <c r="F72">
        <f t="shared" si="4"/>
        <v>4464.6835675544899</v>
      </c>
    </row>
    <row r="73" spans="2:6" x14ac:dyDescent="0.55000000000000004">
      <c r="B73">
        <f t="shared" si="5"/>
        <v>1</v>
      </c>
      <c r="C73" t="s">
        <v>198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23034.179979645702</v>
      </c>
      <c r="E74">
        <f t="shared" si="3"/>
        <v>23034.179979645702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4503.6922582703801</v>
      </c>
      <c r="E75" t="str">
        <f t="shared" si="3"/>
        <v/>
      </c>
      <c r="F75">
        <f t="shared" si="4"/>
        <v>4503.6922582703801</v>
      </c>
    </row>
    <row r="76" spans="2:6" x14ac:dyDescent="0.55000000000000004">
      <c r="B76">
        <f t="shared" si="5"/>
        <v>1</v>
      </c>
      <c r="C76" t="s">
        <v>199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23899.1803716004</v>
      </c>
      <c r="E77">
        <f t="shared" si="3"/>
        <v>23899.1803716004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4386.96740501153</v>
      </c>
      <c r="E78" t="str">
        <f t="shared" si="3"/>
        <v/>
      </c>
      <c r="F78">
        <f t="shared" si="4"/>
        <v>4386.96740501153</v>
      </c>
    </row>
    <row r="79" spans="2:6" x14ac:dyDescent="0.55000000000000004">
      <c r="B79">
        <f t="shared" si="5"/>
        <v>1</v>
      </c>
      <c r="C79" t="s">
        <v>200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28397.737379903199</v>
      </c>
      <c r="E80">
        <f t="shared" si="3"/>
        <v>28397.737379903199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4035.4769739702801</v>
      </c>
      <c r="E81" t="str">
        <f t="shared" si="3"/>
        <v/>
      </c>
      <c r="F81">
        <f t="shared" si="4"/>
        <v>4035.4769739702801</v>
      </c>
    </row>
    <row r="82" spans="2:6" x14ac:dyDescent="0.55000000000000004">
      <c r="B82">
        <f t="shared" si="5"/>
        <v>1</v>
      </c>
      <c r="C82" t="s">
        <v>201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29944.203789057101</v>
      </c>
      <c r="E83">
        <f t="shared" si="3"/>
        <v>29944.203789057101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3995.6609673471899</v>
      </c>
      <c r="E84" t="str">
        <f t="shared" si="3"/>
        <v/>
      </c>
      <c r="F84">
        <f t="shared" si="4"/>
        <v>3995.6609673471899</v>
      </c>
    </row>
    <row r="85" spans="2:6" x14ac:dyDescent="0.55000000000000004">
      <c r="B85">
        <f t="shared" si="5"/>
        <v>1</v>
      </c>
      <c r="C85" t="s">
        <v>202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23451.173499173899</v>
      </c>
      <c r="E86">
        <f t="shared" si="3"/>
        <v>23451.173499173899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4449.9511198840401</v>
      </c>
      <c r="E87" t="str">
        <f t="shared" si="3"/>
        <v/>
      </c>
      <c r="F87">
        <f t="shared" si="4"/>
        <v>4449.9511198840401</v>
      </c>
    </row>
    <row r="88" spans="2:6" x14ac:dyDescent="0.55000000000000004">
      <c r="B88">
        <f t="shared" si="5"/>
        <v>1</v>
      </c>
      <c r="C88" t="s">
        <v>17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25403.1402837362</v>
      </c>
      <c r="E89">
        <f t="shared" si="3"/>
        <v>25403.1402837362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4216.8112474745103</v>
      </c>
      <c r="E90" t="str">
        <f t="shared" si="3"/>
        <v/>
      </c>
      <c r="F90">
        <f t="shared" si="4"/>
        <v>4216.8112474745103</v>
      </c>
    </row>
    <row r="91" spans="2:6" x14ac:dyDescent="0.55000000000000004">
      <c r="B91">
        <f t="shared" si="5"/>
        <v>1</v>
      </c>
      <c r="C91" t="s">
        <v>203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24925.267095543801</v>
      </c>
      <c r="E92">
        <f t="shared" si="3"/>
        <v>24925.267095543801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4284.5984431772004</v>
      </c>
      <c r="E93" t="str">
        <f t="shared" si="3"/>
        <v/>
      </c>
      <c r="F93">
        <f t="shared" si="4"/>
        <v>4284.5984431772004</v>
      </c>
    </row>
    <row r="94" spans="2:6" x14ac:dyDescent="0.55000000000000004">
      <c r="B94">
        <f t="shared" si="5"/>
        <v>1</v>
      </c>
      <c r="C94" t="s">
        <v>204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24944.6672369521</v>
      </c>
      <c r="E95">
        <f t="shared" si="3"/>
        <v>24944.6672369521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4270.6033974229704</v>
      </c>
      <c r="E96" t="str">
        <f t="shared" si="3"/>
        <v/>
      </c>
      <c r="F96">
        <f t="shared" si="4"/>
        <v>4270.6033974229704</v>
      </c>
    </row>
    <row r="97" spans="2:6" x14ac:dyDescent="0.55000000000000004">
      <c r="B97">
        <f t="shared" si="5"/>
        <v>1</v>
      </c>
      <c r="C97" t="s">
        <v>205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24419.395829452402</v>
      </c>
      <c r="E98">
        <f t="shared" si="3"/>
        <v>24419.395829452402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4289.4695659446497</v>
      </c>
      <c r="E99" t="str">
        <f t="shared" si="3"/>
        <v/>
      </c>
      <c r="F99">
        <f t="shared" si="4"/>
        <v>4289.4695659446497</v>
      </c>
    </row>
    <row r="100" spans="2:6" x14ac:dyDescent="0.55000000000000004">
      <c r="B100">
        <f t="shared" si="5"/>
        <v>1</v>
      </c>
      <c r="C100" t="s">
        <v>15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24419.319907564401</v>
      </c>
      <c r="E101">
        <f t="shared" si="3"/>
        <v>24419.319907564401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4290.0512767946702</v>
      </c>
      <c r="E102" t="str">
        <f t="shared" si="3"/>
        <v/>
      </c>
      <c r="F102">
        <f t="shared" si="4"/>
        <v>4290.0512767946702</v>
      </c>
    </row>
    <row r="103" spans="2:6" x14ac:dyDescent="0.55000000000000004">
      <c r="B103">
        <f t="shared" si="5"/>
        <v>1</v>
      </c>
      <c r="C103" t="s">
        <v>19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22599.221593730501</v>
      </c>
      <c r="E104">
        <f t="shared" si="3"/>
        <v>22599.221593730501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4694.4953026251696</v>
      </c>
      <c r="E105" t="str">
        <f t="shared" si="3"/>
        <v/>
      </c>
      <c r="F105">
        <f t="shared" si="4"/>
        <v>4694.4953026251696</v>
      </c>
    </row>
    <row r="106" spans="2:6" x14ac:dyDescent="0.55000000000000004">
      <c r="B106">
        <f t="shared" si="5"/>
        <v>1</v>
      </c>
      <c r="C106" t="s">
        <v>206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25400.8516748211</v>
      </c>
      <c r="E107">
        <f t="shared" si="3"/>
        <v>25400.8516748211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4230.6314217200097</v>
      </c>
      <c r="E108" t="str">
        <f t="shared" si="3"/>
        <v/>
      </c>
      <c r="F108">
        <f t="shared" si="4"/>
        <v>4230.6314217200097</v>
      </c>
    </row>
    <row r="109" spans="2:6" x14ac:dyDescent="0.55000000000000004">
      <c r="B109">
        <f t="shared" si="5"/>
        <v>1</v>
      </c>
      <c r="C109" t="s">
        <v>207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22243.0944245506</v>
      </c>
      <c r="E110">
        <f t="shared" si="3"/>
        <v>22243.0944245506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4771.49963448162</v>
      </c>
      <c r="E111" t="str">
        <f t="shared" si="3"/>
        <v/>
      </c>
      <c r="F111">
        <f t="shared" si="4"/>
        <v>4771.49963448162</v>
      </c>
    </row>
    <row r="112" spans="2:6" x14ac:dyDescent="0.55000000000000004">
      <c r="B112">
        <f t="shared" si="5"/>
        <v>1</v>
      </c>
      <c r="C112" t="s">
        <v>128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23899.415011008699</v>
      </c>
      <c r="E113">
        <f t="shared" si="3"/>
        <v>23899.415011008699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4380.2238196938297</v>
      </c>
      <c r="E114" t="str">
        <f t="shared" si="3"/>
        <v/>
      </c>
      <c r="F114">
        <f t="shared" si="4"/>
        <v>4380.2238196938297</v>
      </c>
    </row>
    <row r="115" spans="2:6" x14ac:dyDescent="0.55000000000000004">
      <c r="B115">
        <f t="shared" si="5"/>
        <v>1</v>
      </c>
      <c r="C115" t="s">
        <v>208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22215.248657902601</v>
      </c>
      <c r="E116">
        <f t="shared" si="3"/>
        <v>22215.248657902601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4797.5551091467196</v>
      </c>
      <c r="E117" t="str">
        <f t="shared" si="3"/>
        <v/>
      </c>
      <c r="F117">
        <f t="shared" si="4"/>
        <v>4797.5551091467196</v>
      </c>
    </row>
    <row r="118" spans="2:6" x14ac:dyDescent="0.55000000000000004">
      <c r="B118">
        <f t="shared" si="5"/>
        <v>1</v>
      </c>
      <c r="C118" t="s">
        <v>209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22630.704035365801</v>
      </c>
      <c r="E119">
        <f t="shared" si="3"/>
        <v>22630.704035365801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4666.67359442827</v>
      </c>
      <c r="E120" t="str">
        <f t="shared" si="3"/>
        <v/>
      </c>
      <c r="F120">
        <f t="shared" si="4"/>
        <v>4666.67359442827</v>
      </c>
    </row>
    <row r="121" spans="2:6" x14ac:dyDescent="0.55000000000000004">
      <c r="B121">
        <f t="shared" si="5"/>
        <v>1</v>
      </c>
      <c r="C121" t="s">
        <v>210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22584.5357400418</v>
      </c>
      <c r="E122">
        <f t="shared" si="3"/>
        <v>22584.5357400418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4705.2757640432601</v>
      </c>
      <c r="E123" t="str">
        <f t="shared" si="3"/>
        <v/>
      </c>
      <c r="F123">
        <f t="shared" si="4"/>
        <v>4705.2757640432601</v>
      </c>
    </row>
    <row r="124" spans="2:6" x14ac:dyDescent="0.55000000000000004">
      <c r="B124">
        <f t="shared" si="5"/>
        <v>1</v>
      </c>
      <c r="C124" t="s">
        <v>211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si="5"/>
        <v>2</v>
      </c>
      <c r="C125">
        <v>22150.927335290799</v>
      </c>
      <c r="E125">
        <f t="shared" si="3"/>
        <v>22150.927335290799</v>
      </c>
      <c r="F125" t="str">
        <f t="shared" si="4"/>
        <v/>
      </c>
    </row>
    <row r="126" spans="2:6" x14ac:dyDescent="0.55000000000000004">
      <c r="B126">
        <f t="shared" si="5"/>
        <v>3</v>
      </c>
      <c r="C126">
        <v>4799.0720897970295</v>
      </c>
      <c r="E126" t="str">
        <f t="shared" si="3"/>
        <v/>
      </c>
      <c r="F126">
        <f t="shared" si="4"/>
        <v>4799.0720897970295</v>
      </c>
    </row>
    <row r="127" spans="2:6" x14ac:dyDescent="0.55000000000000004">
      <c r="B127">
        <f t="shared" si="5"/>
        <v>1</v>
      </c>
      <c r="C127" t="s">
        <v>212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5"/>
        <v>2</v>
      </c>
      <c r="C128">
        <v>22145.045707133198</v>
      </c>
      <c r="E128">
        <f t="shared" si="3"/>
        <v>22145.045707133198</v>
      </c>
      <c r="F128" t="str">
        <f t="shared" si="4"/>
        <v/>
      </c>
    </row>
    <row r="129" spans="2:6" x14ac:dyDescent="0.55000000000000004">
      <c r="B129">
        <f t="shared" si="5"/>
        <v>3</v>
      </c>
      <c r="C129">
        <v>4809.2932361396597</v>
      </c>
      <c r="E129" t="str">
        <f t="shared" si="3"/>
        <v/>
      </c>
      <c r="F129">
        <f t="shared" si="4"/>
        <v>4809.2932361396597</v>
      </c>
    </row>
    <row r="130" spans="2:6" x14ac:dyDescent="0.55000000000000004">
      <c r="B130">
        <f t="shared" si="5"/>
        <v>1</v>
      </c>
      <c r="C130" t="s">
        <v>213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5"/>
        <v>2</v>
      </c>
      <c r="C131">
        <v>24929.491211021901</v>
      </c>
      <c r="E131">
        <f t="shared" si="3"/>
        <v>24929.491211021901</v>
      </c>
      <c r="F131" t="str">
        <f t="shared" si="4"/>
        <v/>
      </c>
    </row>
    <row r="132" spans="2:6" x14ac:dyDescent="0.55000000000000004">
      <c r="B132">
        <f t="shared" si="5"/>
        <v>3</v>
      </c>
      <c r="C132">
        <v>4281.3234696809404</v>
      </c>
      <c r="E132" t="str">
        <f t="shared" si="3"/>
        <v/>
      </c>
      <c r="F132">
        <f t="shared" si="4"/>
        <v>4281.3234696809404</v>
      </c>
    </row>
    <row r="133" spans="2:6" x14ac:dyDescent="0.55000000000000004">
      <c r="B133">
        <f t="shared" si="5"/>
        <v>1</v>
      </c>
      <c r="C133" t="s">
        <v>214</v>
      </c>
      <c r="E133" t="str">
        <f t="shared" ref="E133:E150" si="6">IF(B133=2,C133,"")</f>
        <v/>
      </c>
      <c r="F133" t="str">
        <f t="shared" ref="F133:F150" si="7">IF(B133=3,C133,"")</f>
        <v/>
      </c>
    </row>
    <row r="134" spans="2:6" x14ac:dyDescent="0.55000000000000004">
      <c r="B134">
        <f t="shared" ref="B134:B150" si="8">IF(B133&lt;3,B133+1,1)</f>
        <v>2</v>
      </c>
      <c r="C134">
        <v>25402.598154129799</v>
      </c>
      <c r="E134">
        <f t="shared" si="6"/>
        <v>25402.598154129799</v>
      </c>
      <c r="F134" t="str">
        <f t="shared" si="7"/>
        <v/>
      </c>
    </row>
    <row r="135" spans="2:6" x14ac:dyDescent="0.55000000000000004">
      <c r="B135">
        <f t="shared" si="8"/>
        <v>3</v>
      </c>
      <c r="C135">
        <v>4226.43418680372</v>
      </c>
      <c r="E135" t="str">
        <f t="shared" si="6"/>
        <v/>
      </c>
      <c r="F135">
        <f t="shared" si="7"/>
        <v>4226.43418680372</v>
      </c>
    </row>
    <row r="136" spans="2:6" x14ac:dyDescent="0.55000000000000004">
      <c r="B136">
        <f t="shared" si="8"/>
        <v>1</v>
      </c>
      <c r="C136" t="s">
        <v>215</v>
      </c>
      <c r="E136" t="str">
        <f t="shared" si="6"/>
        <v/>
      </c>
      <c r="F136" t="str">
        <f t="shared" si="7"/>
        <v/>
      </c>
    </row>
    <row r="137" spans="2:6" x14ac:dyDescent="0.55000000000000004">
      <c r="B137">
        <f t="shared" si="8"/>
        <v>2</v>
      </c>
      <c r="C137">
        <v>22268.6003334821</v>
      </c>
      <c r="E137">
        <f t="shared" si="6"/>
        <v>22268.6003334821</v>
      </c>
      <c r="F137" t="str">
        <f t="shared" si="7"/>
        <v/>
      </c>
    </row>
    <row r="138" spans="2:6" x14ac:dyDescent="0.55000000000000004">
      <c r="B138">
        <f t="shared" si="8"/>
        <v>3</v>
      </c>
      <c r="C138">
        <v>4764.1179949447296</v>
      </c>
      <c r="E138" t="str">
        <f t="shared" si="6"/>
        <v/>
      </c>
      <c r="F138">
        <f t="shared" si="7"/>
        <v>4764.1179949447296</v>
      </c>
    </row>
    <row r="139" spans="2:6" x14ac:dyDescent="0.55000000000000004">
      <c r="B139">
        <f t="shared" si="8"/>
        <v>1</v>
      </c>
      <c r="C139" t="s">
        <v>10</v>
      </c>
      <c r="E139" t="str">
        <f t="shared" si="6"/>
        <v/>
      </c>
      <c r="F139" t="str">
        <f t="shared" si="7"/>
        <v/>
      </c>
    </row>
    <row r="140" spans="2:6" x14ac:dyDescent="0.55000000000000004">
      <c r="B140">
        <f t="shared" si="8"/>
        <v>2</v>
      </c>
      <c r="C140">
        <v>22143.996258643201</v>
      </c>
      <c r="E140">
        <f t="shared" si="6"/>
        <v>22143.996258643201</v>
      </c>
      <c r="F140" t="str">
        <f t="shared" si="7"/>
        <v/>
      </c>
    </row>
    <row r="141" spans="2:6" x14ac:dyDescent="0.55000000000000004">
      <c r="B141">
        <f t="shared" si="8"/>
        <v>3</v>
      </c>
      <c r="C141">
        <v>4817.4017387358699</v>
      </c>
      <c r="E141" t="str">
        <f t="shared" si="6"/>
        <v/>
      </c>
      <c r="F141">
        <f t="shared" si="7"/>
        <v>4817.4017387358699</v>
      </c>
    </row>
    <row r="142" spans="2:6" x14ac:dyDescent="0.55000000000000004">
      <c r="B142">
        <f t="shared" si="8"/>
        <v>1</v>
      </c>
      <c r="C142" t="s">
        <v>216</v>
      </c>
      <c r="E142" t="str">
        <f t="shared" si="6"/>
        <v/>
      </c>
      <c r="F142" t="str">
        <f t="shared" si="7"/>
        <v/>
      </c>
    </row>
    <row r="143" spans="2:6" x14ac:dyDescent="0.55000000000000004">
      <c r="B143">
        <f t="shared" si="8"/>
        <v>2</v>
      </c>
      <c r="C143">
        <v>22143.662678421799</v>
      </c>
      <c r="E143">
        <f t="shared" si="6"/>
        <v>22143.662678421799</v>
      </c>
      <c r="F143" t="str">
        <f t="shared" si="7"/>
        <v/>
      </c>
    </row>
    <row r="144" spans="2:6" x14ac:dyDescent="0.55000000000000004">
      <c r="B144">
        <f t="shared" si="8"/>
        <v>3</v>
      </c>
      <c r="C144">
        <v>4817.4263758793804</v>
      </c>
      <c r="E144" t="str">
        <f t="shared" si="6"/>
        <v/>
      </c>
      <c r="F144">
        <f t="shared" si="7"/>
        <v>4817.4263758793804</v>
      </c>
    </row>
    <row r="145" spans="2:6" x14ac:dyDescent="0.55000000000000004">
      <c r="B145">
        <f t="shared" si="8"/>
        <v>1</v>
      </c>
      <c r="C145" t="s">
        <v>217</v>
      </c>
      <c r="E145" t="str">
        <f t="shared" si="6"/>
        <v/>
      </c>
      <c r="F145" t="str">
        <f t="shared" si="7"/>
        <v/>
      </c>
    </row>
    <row r="146" spans="2:6" x14ac:dyDescent="0.55000000000000004">
      <c r="B146">
        <f t="shared" si="8"/>
        <v>2</v>
      </c>
      <c r="C146">
        <v>22274.946373599701</v>
      </c>
      <c r="E146">
        <f t="shared" si="6"/>
        <v>22274.946373599701</v>
      </c>
      <c r="F146" t="str">
        <f t="shared" si="7"/>
        <v/>
      </c>
    </row>
    <row r="147" spans="2:6" x14ac:dyDescent="0.55000000000000004">
      <c r="B147">
        <f t="shared" si="8"/>
        <v>3</v>
      </c>
      <c r="C147">
        <v>4762.6485247290302</v>
      </c>
      <c r="E147" t="str">
        <f t="shared" si="6"/>
        <v/>
      </c>
      <c r="F147">
        <f t="shared" si="7"/>
        <v>4762.6485247290302</v>
      </c>
    </row>
    <row r="148" spans="2:6" x14ac:dyDescent="0.55000000000000004">
      <c r="B148">
        <f t="shared" si="8"/>
        <v>1</v>
      </c>
      <c r="C148" t="s">
        <v>218</v>
      </c>
      <c r="E148" t="str">
        <f t="shared" si="6"/>
        <v/>
      </c>
      <c r="F148" t="str">
        <f t="shared" si="7"/>
        <v/>
      </c>
    </row>
    <row r="149" spans="2:6" x14ac:dyDescent="0.55000000000000004">
      <c r="B149">
        <f t="shared" si="8"/>
        <v>2</v>
      </c>
      <c r="C149">
        <v>28395.520946582401</v>
      </c>
      <c r="E149">
        <f t="shared" si="6"/>
        <v>28395.520946582401</v>
      </c>
      <c r="F149" t="str">
        <f t="shared" si="7"/>
        <v/>
      </c>
    </row>
    <row r="150" spans="2:6" x14ac:dyDescent="0.55000000000000004">
      <c r="B150">
        <f t="shared" si="8"/>
        <v>3</v>
      </c>
      <c r="C150">
        <v>4035.62058352549</v>
      </c>
      <c r="E150" t="str">
        <f t="shared" si="6"/>
        <v/>
      </c>
      <c r="F150">
        <f t="shared" si="7"/>
        <v>4035.62058352549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160A-2621-4BBD-8BCA-EE90BAD7ACF2}">
  <dimension ref="A1:ET153"/>
  <sheetViews>
    <sheetView workbookViewId="0">
      <selection activeCell="I22" sqref="I22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50" x14ac:dyDescent="0.55000000000000004">
      <c r="A1" t="s">
        <v>219</v>
      </c>
      <c r="B1">
        <v>26119.351596541801</v>
      </c>
      <c r="C1">
        <v>3880.3461720237601</v>
      </c>
      <c r="D1" t="s">
        <v>220</v>
      </c>
      <c r="E1">
        <v>21631.2998980292</v>
      </c>
      <c r="F1">
        <v>4481.8236996674004</v>
      </c>
      <c r="G1" t="s">
        <v>221</v>
      </c>
      <c r="H1">
        <v>24540.161773935499</v>
      </c>
      <c r="I1">
        <v>3899.00566548911</v>
      </c>
      <c r="J1" t="s">
        <v>222</v>
      </c>
      <c r="K1">
        <v>24073.406181524999</v>
      </c>
      <c r="L1">
        <v>3971.1893765813502</v>
      </c>
      <c r="M1" t="s">
        <v>223</v>
      </c>
      <c r="N1">
        <v>25578.576795049001</v>
      </c>
      <c r="O1">
        <v>3892.6527622009298</v>
      </c>
      <c r="P1" t="s">
        <v>224</v>
      </c>
      <c r="Q1">
        <v>23156.692512120801</v>
      </c>
      <c r="R1">
        <v>4092.95134999527</v>
      </c>
      <c r="S1" t="s">
        <v>225</v>
      </c>
      <c r="T1">
        <v>22119.5239402072</v>
      </c>
      <c r="U1">
        <v>4284.4557116113801</v>
      </c>
      <c r="V1" t="s">
        <v>9</v>
      </c>
      <c r="W1">
        <v>21803.1947764736</v>
      </c>
      <c r="X1">
        <v>4350.0229634641801</v>
      </c>
      <c r="Y1" t="s">
        <v>226</v>
      </c>
      <c r="Z1">
        <v>23568.177711372799</v>
      </c>
      <c r="AA1">
        <v>4042.19919452358</v>
      </c>
      <c r="AB1" t="s">
        <v>227</v>
      </c>
      <c r="AC1">
        <v>22560.214386346001</v>
      </c>
      <c r="AD1">
        <v>4188.5867788838696</v>
      </c>
      <c r="AE1" t="s">
        <v>228</v>
      </c>
      <c r="AF1">
        <v>22212.2551378731</v>
      </c>
      <c r="AG1">
        <v>4237.9283650911302</v>
      </c>
      <c r="AH1" t="s">
        <v>31</v>
      </c>
      <c r="AI1">
        <v>23578.571742009699</v>
      </c>
      <c r="AJ1">
        <v>4007.7524362304398</v>
      </c>
      <c r="AK1" t="s">
        <v>229</v>
      </c>
      <c r="AL1">
        <v>24067.645867893301</v>
      </c>
      <c r="AM1">
        <v>3995.9276172236</v>
      </c>
      <c r="AN1" t="s">
        <v>230</v>
      </c>
      <c r="AO1">
        <v>22668.091445873</v>
      </c>
      <c r="AP1">
        <v>4167.7202219692799</v>
      </c>
      <c r="AQ1" t="s">
        <v>231</v>
      </c>
      <c r="AR1">
        <v>26107.334833304201</v>
      </c>
      <c r="AS1">
        <v>3882.68383454178</v>
      </c>
      <c r="AT1" t="s">
        <v>232</v>
      </c>
      <c r="AU1">
        <v>25579.675587671602</v>
      </c>
      <c r="AV1">
        <v>3892.4359859968399</v>
      </c>
      <c r="AW1" t="s">
        <v>233</v>
      </c>
      <c r="AX1">
        <v>23039.888162833799</v>
      </c>
      <c r="AY1">
        <v>4149.7123060673503</v>
      </c>
      <c r="AZ1" t="s">
        <v>234</v>
      </c>
      <c r="BA1">
        <v>21679.3367089575</v>
      </c>
      <c r="BB1">
        <v>4432.82244181028</v>
      </c>
      <c r="BC1" t="s">
        <v>235</v>
      </c>
      <c r="BD1">
        <v>21709.282984015201</v>
      </c>
      <c r="BE1">
        <v>4370.6341929154396</v>
      </c>
      <c r="BF1" t="s">
        <v>236</v>
      </c>
      <c r="BG1">
        <v>21681.348174120201</v>
      </c>
      <c r="BH1">
        <v>4402.4751262885002</v>
      </c>
      <c r="BI1" t="s">
        <v>237</v>
      </c>
      <c r="BJ1">
        <v>22177.894369317801</v>
      </c>
      <c r="BK1">
        <v>4255.5764111757499</v>
      </c>
      <c r="BL1" t="s">
        <v>238</v>
      </c>
      <c r="BM1">
        <v>21729.0312677814</v>
      </c>
      <c r="BN1">
        <v>4352.0081015750602</v>
      </c>
      <c r="BO1" t="s">
        <v>239</v>
      </c>
      <c r="BP1">
        <v>23050.325127198801</v>
      </c>
      <c r="BQ1">
        <v>4124.63811916547</v>
      </c>
      <c r="BR1" t="s">
        <v>240</v>
      </c>
      <c r="BS1">
        <v>22174.3547936629</v>
      </c>
      <c r="BT1">
        <v>4273.4081572424402</v>
      </c>
      <c r="BU1" t="s">
        <v>241</v>
      </c>
      <c r="BV1">
        <v>21693.9465247259</v>
      </c>
      <c r="BW1">
        <v>4385.9511762512802</v>
      </c>
      <c r="BX1" t="s">
        <v>242</v>
      </c>
      <c r="BY1">
        <v>24068.313700688501</v>
      </c>
      <c r="BZ1">
        <v>3983.3219643632001</v>
      </c>
      <c r="CA1" t="s">
        <v>243</v>
      </c>
      <c r="CB1">
        <v>21659.171786533901</v>
      </c>
      <c r="CC1">
        <v>4443.4662200842604</v>
      </c>
      <c r="CD1" t="s">
        <v>244</v>
      </c>
      <c r="CE1">
        <v>23120.881657291699</v>
      </c>
      <c r="CF1">
        <v>4099.2131988497304</v>
      </c>
      <c r="CG1" t="s">
        <v>245</v>
      </c>
      <c r="CH1">
        <v>23576.865616367999</v>
      </c>
      <c r="CI1">
        <v>4020.8144368288099</v>
      </c>
      <c r="CJ1" t="s">
        <v>246</v>
      </c>
      <c r="CK1">
        <v>23094.931023160902</v>
      </c>
      <c r="CL1">
        <v>4108.5959770996096</v>
      </c>
      <c r="CM1" t="s">
        <v>247</v>
      </c>
      <c r="CN1">
        <v>22198.4640186084</v>
      </c>
      <c r="CO1">
        <v>4241.8067144202196</v>
      </c>
      <c r="CP1" t="s">
        <v>248</v>
      </c>
      <c r="CQ1">
        <v>21637.056749429001</v>
      </c>
      <c r="CR1">
        <v>4467.48669978002</v>
      </c>
      <c r="CS1" t="s">
        <v>249</v>
      </c>
      <c r="CT1">
        <v>23042.405756198299</v>
      </c>
      <c r="CU1">
        <v>4144.1587002104297</v>
      </c>
      <c r="CV1" t="s">
        <v>250</v>
      </c>
      <c r="CW1">
        <v>21650.132904697901</v>
      </c>
      <c r="CX1">
        <v>4452.8540039610098</v>
      </c>
      <c r="CY1" t="s">
        <v>251</v>
      </c>
      <c r="CZ1">
        <v>23576.4873158351</v>
      </c>
      <c r="DA1">
        <v>4030.7585778605999</v>
      </c>
      <c r="DB1" t="s">
        <v>252</v>
      </c>
      <c r="DC1">
        <v>22590.975776953299</v>
      </c>
      <c r="DD1">
        <v>4174.2101834479099</v>
      </c>
      <c r="DE1" t="s">
        <v>253</v>
      </c>
      <c r="DF1">
        <v>22153.676967826199</v>
      </c>
      <c r="DG1">
        <v>4283.5902930030297</v>
      </c>
      <c r="DH1" t="s">
        <v>28</v>
      </c>
      <c r="DI1">
        <v>21638.658207340301</v>
      </c>
      <c r="DJ1">
        <v>4460.1794562999403</v>
      </c>
      <c r="DK1" t="s">
        <v>254</v>
      </c>
      <c r="DL1">
        <v>21634.500433184101</v>
      </c>
      <c r="DM1">
        <v>4481.6737143173004</v>
      </c>
      <c r="DN1" t="s">
        <v>255</v>
      </c>
      <c r="DO1">
        <v>21687.313350775501</v>
      </c>
      <c r="DP1">
        <v>4396.4051138279701</v>
      </c>
      <c r="DQ1" t="s">
        <v>256</v>
      </c>
      <c r="DR1">
        <v>21803.187573069899</v>
      </c>
      <c r="DS1">
        <v>4350.2699300782197</v>
      </c>
      <c r="DT1" t="s">
        <v>257</v>
      </c>
      <c r="DU1">
        <v>23055.0822361832</v>
      </c>
      <c r="DV1">
        <v>4114.1013442881303</v>
      </c>
      <c r="DW1" t="s">
        <v>258</v>
      </c>
      <c r="DX1">
        <v>23058.025011624901</v>
      </c>
      <c r="DY1">
        <v>4113.9013092320101</v>
      </c>
      <c r="DZ1" t="s">
        <v>259</v>
      </c>
      <c r="EA1">
        <v>23569.979386346</v>
      </c>
      <c r="EB1">
        <v>4038.7900971755798</v>
      </c>
      <c r="EC1" t="s">
        <v>260</v>
      </c>
      <c r="ED1">
        <v>22565.570880582</v>
      </c>
      <c r="EE1">
        <v>4180.0688546064002</v>
      </c>
      <c r="EF1" t="s">
        <v>27</v>
      </c>
      <c r="EG1">
        <v>22576.649598796299</v>
      </c>
      <c r="EH1">
        <v>4174.3281418022498</v>
      </c>
      <c r="EI1" t="s">
        <v>261</v>
      </c>
      <c r="EJ1">
        <v>22567.895987415399</v>
      </c>
      <c r="EK1">
        <v>4179.0687938143801</v>
      </c>
      <c r="EL1" t="s">
        <v>262</v>
      </c>
      <c r="EM1">
        <v>21683.9123290319</v>
      </c>
      <c r="EN1">
        <v>4398.5099313254796</v>
      </c>
      <c r="EO1" t="s">
        <v>263</v>
      </c>
      <c r="EP1">
        <v>23040.145359539099</v>
      </c>
      <c r="EQ1">
        <v>4144.86140714252</v>
      </c>
      <c r="ER1" t="s">
        <v>264</v>
      </c>
      <c r="ES1">
        <v>23569.900575371499</v>
      </c>
      <c r="ET1">
        <v>4040.5800631076099</v>
      </c>
    </row>
    <row r="3" spans="1:150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150" x14ac:dyDescent="0.55000000000000004">
      <c r="B4">
        <f>1</f>
        <v>1</v>
      </c>
      <c r="C4" t="s">
        <v>219</v>
      </c>
      <c r="E4" t="str">
        <f>IF(B4=2,C4,"")</f>
        <v/>
      </c>
      <c r="F4" t="str">
        <f>IF(B4=3,C4,"")</f>
        <v/>
      </c>
      <c r="H4">
        <f>MIN(E4:E168)</f>
        <v>21631.2998980292</v>
      </c>
      <c r="I4">
        <f>MAX(E4:E168)</f>
        <v>26119.351596541801</v>
      </c>
      <c r="J4">
        <f>MIN(F4:F168)</f>
        <v>3880.3461720237601</v>
      </c>
      <c r="K4">
        <f>MAX(F4:F168)</f>
        <v>4481.8236996674004</v>
      </c>
      <c r="L4">
        <f>SUMIF(B4:B153,1)</f>
        <v>50</v>
      </c>
    </row>
    <row r="5" spans="1:150" x14ac:dyDescent="0.55000000000000004">
      <c r="B5">
        <f>IF(B4&lt;3,B4+1,1)</f>
        <v>2</v>
      </c>
      <c r="C5">
        <v>26119.351596541801</v>
      </c>
      <c r="E5">
        <f t="shared" ref="E5:E68" si="0">IF(B5=2,C5,"")</f>
        <v>26119.351596541801</v>
      </c>
      <c r="F5" t="str">
        <f t="shared" ref="F5:F68" si="1">IF(B5=3,C5,"")</f>
        <v/>
      </c>
    </row>
    <row r="6" spans="1:150" x14ac:dyDescent="0.55000000000000004">
      <c r="B6">
        <f t="shared" ref="B6:B69" si="2">IF(B5&lt;3,B5+1,1)</f>
        <v>3</v>
      </c>
      <c r="C6">
        <v>3880.3461720237601</v>
      </c>
      <c r="E6" t="str">
        <f t="shared" si="0"/>
        <v/>
      </c>
      <c r="F6">
        <f t="shared" si="1"/>
        <v>3880.3461720237601</v>
      </c>
    </row>
    <row r="7" spans="1:150" x14ac:dyDescent="0.55000000000000004">
      <c r="B7">
        <f t="shared" si="2"/>
        <v>1</v>
      </c>
      <c r="C7" t="s">
        <v>220</v>
      </c>
      <c r="E7" t="str">
        <f t="shared" si="0"/>
        <v/>
      </c>
      <c r="F7" t="str">
        <f t="shared" si="1"/>
        <v/>
      </c>
    </row>
    <row r="8" spans="1:150" x14ac:dyDescent="0.55000000000000004">
      <c r="B8">
        <f t="shared" si="2"/>
        <v>2</v>
      </c>
      <c r="C8">
        <v>21631.2998980292</v>
      </c>
      <c r="E8">
        <f t="shared" si="0"/>
        <v>21631.2998980292</v>
      </c>
      <c r="F8" t="str">
        <f t="shared" si="1"/>
        <v/>
      </c>
    </row>
    <row r="9" spans="1:150" x14ac:dyDescent="0.55000000000000004">
      <c r="B9">
        <f t="shared" si="2"/>
        <v>3</v>
      </c>
      <c r="C9">
        <v>4481.8236996674004</v>
      </c>
      <c r="E9" t="str">
        <f t="shared" si="0"/>
        <v/>
      </c>
      <c r="F9">
        <f t="shared" si="1"/>
        <v>4481.8236996674004</v>
      </c>
    </row>
    <row r="10" spans="1:150" x14ac:dyDescent="0.55000000000000004">
      <c r="B10">
        <f t="shared" si="2"/>
        <v>1</v>
      </c>
      <c r="C10" t="s">
        <v>221</v>
      </c>
      <c r="E10" t="str">
        <f t="shared" si="0"/>
        <v/>
      </c>
      <c r="F10" t="str">
        <f t="shared" si="1"/>
        <v/>
      </c>
    </row>
    <row r="11" spans="1:150" x14ac:dyDescent="0.55000000000000004">
      <c r="B11">
        <f t="shared" si="2"/>
        <v>2</v>
      </c>
      <c r="C11">
        <v>24540.161773935499</v>
      </c>
      <c r="E11">
        <f t="shared" si="0"/>
        <v>24540.161773935499</v>
      </c>
      <c r="F11" t="str">
        <f t="shared" si="1"/>
        <v/>
      </c>
    </row>
    <row r="12" spans="1:150" x14ac:dyDescent="0.55000000000000004">
      <c r="B12">
        <f t="shared" si="2"/>
        <v>3</v>
      </c>
      <c r="C12">
        <v>3899.00566548911</v>
      </c>
      <c r="E12" t="str">
        <f t="shared" si="0"/>
        <v/>
      </c>
      <c r="F12">
        <f t="shared" si="1"/>
        <v>3899.00566548911</v>
      </c>
    </row>
    <row r="13" spans="1:150" x14ac:dyDescent="0.55000000000000004">
      <c r="B13">
        <f t="shared" si="2"/>
        <v>1</v>
      </c>
      <c r="C13" t="s">
        <v>222</v>
      </c>
      <c r="E13" t="str">
        <f t="shared" si="0"/>
        <v/>
      </c>
      <c r="F13" t="str">
        <f t="shared" si="1"/>
        <v/>
      </c>
    </row>
    <row r="14" spans="1:150" x14ac:dyDescent="0.55000000000000004">
      <c r="B14">
        <f t="shared" si="2"/>
        <v>2</v>
      </c>
      <c r="C14">
        <v>24073.406181524999</v>
      </c>
      <c r="E14">
        <f t="shared" si="0"/>
        <v>24073.406181524999</v>
      </c>
      <c r="F14" t="str">
        <f t="shared" si="1"/>
        <v/>
      </c>
    </row>
    <row r="15" spans="1:150" x14ac:dyDescent="0.55000000000000004">
      <c r="B15">
        <f t="shared" si="2"/>
        <v>3</v>
      </c>
      <c r="C15">
        <v>3971.1893765813502</v>
      </c>
      <c r="E15" t="str">
        <f t="shared" si="0"/>
        <v/>
      </c>
      <c r="F15">
        <f t="shared" si="1"/>
        <v>3971.1893765813502</v>
      </c>
    </row>
    <row r="16" spans="1:150" x14ac:dyDescent="0.55000000000000004">
      <c r="B16">
        <f t="shared" si="2"/>
        <v>1</v>
      </c>
      <c r="C16" t="s">
        <v>223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25578.576795049001</v>
      </c>
      <c r="E17">
        <f t="shared" si="0"/>
        <v>25578.576795049001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3892.6527622009298</v>
      </c>
      <c r="E18" t="str">
        <f t="shared" si="0"/>
        <v/>
      </c>
      <c r="F18">
        <f t="shared" si="1"/>
        <v>3892.6527622009298</v>
      </c>
    </row>
    <row r="19" spans="2:6" x14ac:dyDescent="0.55000000000000004">
      <c r="B19">
        <f t="shared" si="2"/>
        <v>1</v>
      </c>
      <c r="C19" t="s">
        <v>224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23156.692512120801</v>
      </c>
      <c r="E20">
        <f t="shared" si="0"/>
        <v>23156.692512120801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4092.95134999527</v>
      </c>
      <c r="E21" t="str">
        <f t="shared" si="0"/>
        <v/>
      </c>
      <c r="F21">
        <f t="shared" si="1"/>
        <v>4092.95134999527</v>
      </c>
    </row>
    <row r="22" spans="2:6" x14ac:dyDescent="0.55000000000000004">
      <c r="B22">
        <f t="shared" si="2"/>
        <v>1</v>
      </c>
      <c r="C22" t="s">
        <v>225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22119.5239402072</v>
      </c>
      <c r="E23">
        <f t="shared" si="0"/>
        <v>22119.5239402072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4284.4557116113801</v>
      </c>
      <c r="E24" t="str">
        <f t="shared" si="0"/>
        <v/>
      </c>
      <c r="F24">
        <f t="shared" si="1"/>
        <v>4284.4557116113801</v>
      </c>
    </row>
    <row r="25" spans="2:6" x14ac:dyDescent="0.55000000000000004">
      <c r="B25">
        <f t="shared" si="2"/>
        <v>1</v>
      </c>
      <c r="C25" t="s">
        <v>9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21803.1947764736</v>
      </c>
      <c r="E26">
        <f t="shared" si="0"/>
        <v>21803.1947764736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4350.0229634641801</v>
      </c>
      <c r="E27" t="str">
        <f t="shared" si="0"/>
        <v/>
      </c>
      <c r="F27">
        <f t="shared" si="1"/>
        <v>4350.0229634641801</v>
      </c>
    </row>
    <row r="28" spans="2:6" x14ac:dyDescent="0.55000000000000004">
      <c r="B28">
        <f t="shared" si="2"/>
        <v>1</v>
      </c>
      <c r="C28" t="s">
        <v>226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23568.177711372799</v>
      </c>
      <c r="E29">
        <f t="shared" si="0"/>
        <v>23568.177711372799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4042.19919452358</v>
      </c>
      <c r="E30" t="str">
        <f t="shared" si="0"/>
        <v/>
      </c>
      <c r="F30">
        <f t="shared" si="1"/>
        <v>4042.19919452358</v>
      </c>
    </row>
    <row r="31" spans="2:6" x14ac:dyDescent="0.55000000000000004">
      <c r="B31">
        <f t="shared" si="2"/>
        <v>1</v>
      </c>
      <c r="C31" t="s">
        <v>227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22560.214386346001</v>
      </c>
      <c r="E32">
        <f t="shared" si="0"/>
        <v>22560.214386346001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4188.5867788838696</v>
      </c>
      <c r="E33" t="str">
        <f t="shared" si="0"/>
        <v/>
      </c>
      <c r="F33">
        <f t="shared" si="1"/>
        <v>4188.5867788838696</v>
      </c>
    </row>
    <row r="34" spans="2:6" x14ac:dyDescent="0.55000000000000004">
      <c r="B34">
        <f t="shared" si="2"/>
        <v>1</v>
      </c>
      <c r="C34" t="s">
        <v>228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22212.2551378731</v>
      </c>
      <c r="E35">
        <f t="shared" si="0"/>
        <v>22212.2551378731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4237.9283650911302</v>
      </c>
      <c r="E36" t="str">
        <f t="shared" si="0"/>
        <v/>
      </c>
      <c r="F36">
        <f t="shared" si="1"/>
        <v>4237.9283650911302</v>
      </c>
    </row>
    <row r="37" spans="2:6" x14ac:dyDescent="0.55000000000000004">
      <c r="B37">
        <f t="shared" si="2"/>
        <v>1</v>
      </c>
      <c r="C37" t="s">
        <v>31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23578.571742009699</v>
      </c>
      <c r="E38">
        <f t="shared" si="0"/>
        <v>23578.571742009699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4007.7524362304398</v>
      </c>
      <c r="E39" t="str">
        <f t="shared" si="0"/>
        <v/>
      </c>
      <c r="F39">
        <f t="shared" si="1"/>
        <v>4007.7524362304398</v>
      </c>
    </row>
    <row r="40" spans="2:6" x14ac:dyDescent="0.55000000000000004">
      <c r="B40">
        <f t="shared" si="2"/>
        <v>1</v>
      </c>
      <c r="C40" t="s">
        <v>229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24067.645867893301</v>
      </c>
      <c r="E41">
        <f t="shared" si="0"/>
        <v>24067.645867893301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3995.9276172236</v>
      </c>
      <c r="E42" t="str">
        <f t="shared" si="0"/>
        <v/>
      </c>
      <c r="F42">
        <f t="shared" si="1"/>
        <v>3995.9276172236</v>
      </c>
    </row>
    <row r="43" spans="2:6" x14ac:dyDescent="0.55000000000000004">
      <c r="B43">
        <f t="shared" si="2"/>
        <v>1</v>
      </c>
      <c r="C43" t="s">
        <v>230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22668.091445873</v>
      </c>
      <c r="E44">
        <f t="shared" si="0"/>
        <v>22668.091445873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4167.7202219692799</v>
      </c>
      <c r="E45" t="str">
        <f t="shared" si="0"/>
        <v/>
      </c>
      <c r="F45">
        <f t="shared" si="1"/>
        <v>4167.7202219692799</v>
      </c>
    </row>
    <row r="46" spans="2:6" x14ac:dyDescent="0.55000000000000004">
      <c r="B46">
        <f t="shared" si="2"/>
        <v>1</v>
      </c>
      <c r="C46" t="s">
        <v>231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26107.334833304201</v>
      </c>
      <c r="E47">
        <f t="shared" si="0"/>
        <v>26107.334833304201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3882.68383454178</v>
      </c>
      <c r="E48" t="str">
        <f t="shared" si="0"/>
        <v/>
      </c>
      <c r="F48">
        <f t="shared" si="1"/>
        <v>3882.68383454178</v>
      </c>
    </row>
    <row r="49" spans="2:6" x14ac:dyDescent="0.55000000000000004">
      <c r="B49">
        <f t="shared" si="2"/>
        <v>1</v>
      </c>
      <c r="C49" t="s">
        <v>232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25579.675587671602</v>
      </c>
      <c r="E50">
        <f t="shared" si="0"/>
        <v>25579.675587671602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3892.4359859968399</v>
      </c>
      <c r="E51" t="str">
        <f t="shared" si="0"/>
        <v/>
      </c>
      <c r="F51">
        <f t="shared" si="1"/>
        <v>3892.4359859968399</v>
      </c>
    </row>
    <row r="52" spans="2:6" x14ac:dyDescent="0.55000000000000004">
      <c r="B52">
        <f t="shared" si="2"/>
        <v>1</v>
      </c>
      <c r="C52" t="s">
        <v>233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23039.888162833799</v>
      </c>
      <c r="E53">
        <f t="shared" si="0"/>
        <v>23039.888162833799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4149.7123060673503</v>
      </c>
      <c r="E54" t="str">
        <f t="shared" si="0"/>
        <v/>
      </c>
      <c r="F54">
        <f t="shared" si="1"/>
        <v>4149.7123060673503</v>
      </c>
    </row>
    <row r="55" spans="2:6" x14ac:dyDescent="0.55000000000000004">
      <c r="B55">
        <f t="shared" si="2"/>
        <v>1</v>
      </c>
      <c r="C55" t="s">
        <v>234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21679.3367089575</v>
      </c>
      <c r="E56">
        <f t="shared" si="0"/>
        <v>21679.3367089575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4432.82244181028</v>
      </c>
      <c r="E57" t="str">
        <f t="shared" si="0"/>
        <v/>
      </c>
      <c r="F57">
        <f t="shared" si="1"/>
        <v>4432.82244181028</v>
      </c>
    </row>
    <row r="58" spans="2:6" x14ac:dyDescent="0.55000000000000004">
      <c r="B58">
        <f t="shared" si="2"/>
        <v>1</v>
      </c>
      <c r="C58" t="s">
        <v>235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21709.282984015201</v>
      </c>
      <c r="E59">
        <f t="shared" si="0"/>
        <v>21709.282984015201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4370.6341929154396</v>
      </c>
      <c r="E60" t="str">
        <f t="shared" si="0"/>
        <v/>
      </c>
      <c r="F60">
        <f t="shared" si="1"/>
        <v>4370.6341929154396</v>
      </c>
    </row>
    <row r="61" spans="2:6" x14ac:dyDescent="0.55000000000000004">
      <c r="B61">
        <f t="shared" si="2"/>
        <v>1</v>
      </c>
      <c r="C61" t="s">
        <v>236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21681.348174120201</v>
      </c>
      <c r="E62">
        <f t="shared" si="0"/>
        <v>21681.348174120201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4402.4751262885002</v>
      </c>
      <c r="E63" t="str">
        <f t="shared" si="0"/>
        <v/>
      </c>
      <c r="F63">
        <f t="shared" si="1"/>
        <v>4402.4751262885002</v>
      </c>
    </row>
    <row r="64" spans="2:6" x14ac:dyDescent="0.55000000000000004">
      <c r="B64">
        <f t="shared" si="2"/>
        <v>1</v>
      </c>
      <c r="C64" t="s">
        <v>237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22177.894369317801</v>
      </c>
      <c r="E65">
        <f t="shared" si="0"/>
        <v>22177.894369317801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4255.5764111757499</v>
      </c>
      <c r="E66" t="str">
        <f t="shared" si="0"/>
        <v/>
      </c>
      <c r="F66">
        <f t="shared" si="1"/>
        <v>4255.5764111757499</v>
      </c>
    </row>
    <row r="67" spans="2:6" x14ac:dyDescent="0.55000000000000004">
      <c r="B67">
        <f t="shared" si="2"/>
        <v>1</v>
      </c>
      <c r="C67" t="s">
        <v>238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21729.0312677814</v>
      </c>
      <c r="E68">
        <f t="shared" si="0"/>
        <v>21729.0312677814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4352.0081015750602</v>
      </c>
      <c r="E69" t="str">
        <f t="shared" ref="E69:E132" si="3">IF(B69=2,C69,"")</f>
        <v/>
      </c>
      <c r="F69">
        <f t="shared" ref="F69:F132" si="4">IF(B69=3,C69,"")</f>
        <v>4352.0081015750602</v>
      </c>
    </row>
    <row r="70" spans="2:6" x14ac:dyDescent="0.55000000000000004">
      <c r="B70">
        <f t="shared" ref="B70:B123" si="5">IF(B69&lt;3,B69+1,1)</f>
        <v>1</v>
      </c>
      <c r="C70" t="s">
        <v>239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23050.325127198801</v>
      </c>
      <c r="E71">
        <f t="shared" si="3"/>
        <v>23050.325127198801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4124.63811916547</v>
      </c>
      <c r="E72" t="str">
        <f t="shared" si="3"/>
        <v/>
      </c>
      <c r="F72">
        <f t="shared" si="4"/>
        <v>4124.63811916547</v>
      </c>
    </row>
    <row r="73" spans="2:6" x14ac:dyDescent="0.55000000000000004">
      <c r="B73">
        <f t="shared" si="5"/>
        <v>1</v>
      </c>
      <c r="C73" t="s">
        <v>240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22174.3547936629</v>
      </c>
      <c r="E74">
        <f t="shared" si="3"/>
        <v>22174.3547936629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4273.4081572424402</v>
      </c>
      <c r="E75" t="str">
        <f t="shared" si="3"/>
        <v/>
      </c>
      <c r="F75">
        <f t="shared" si="4"/>
        <v>4273.4081572424402</v>
      </c>
    </row>
    <row r="76" spans="2:6" x14ac:dyDescent="0.55000000000000004">
      <c r="B76">
        <f t="shared" si="5"/>
        <v>1</v>
      </c>
      <c r="C76" t="s">
        <v>241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21693.9465247259</v>
      </c>
      <c r="E77">
        <f t="shared" si="3"/>
        <v>21693.9465247259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4385.9511762512802</v>
      </c>
      <c r="E78" t="str">
        <f t="shared" si="3"/>
        <v/>
      </c>
      <c r="F78">
        <f t="shared" si="4"/>
        <v>4385.9511762512802</v>
      </c>
    </row>
    <row r="79" spans="2:6" x14ac:dyDescent="0.55000000000000004">
      <c r="B79">
        <f t="shared" si="5"/>
        <v>1</v>
      </c>
      <c r="C79" t="s">
        <v>242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24068.313700688501</v>
      </c>
      <c r="E80">
        <f t="shared" si="3"/>
        <v>24068.313700688501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3983.3219643632001</v>
      </c>
      <c r="E81" t="str">
        <f t="shared" si="3"/>
        <v/>
      </c>
      <c r="F81">
        <f t="shared" si="4"/>
        <v>3983.3219643632001</v>
      </c>
    </row>
    <row r="82" spans="2:6" x14ac:dyDescent="0.55000000000000004">
      <c r="B82">
        <f t="shared" si="5"/>
        <v>1</v>
      </c>
      <c r="C82" t="s">
        <v>243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21659.171786533901</v>
      </c>
      <c r="E83">
        <f t="shared" si="3"/>
        <v>21659.171786533901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4443.4662200842604</v>
      </c>
      <c r="E84" t="str">
        <f t="shared" si="3"/>
        <v/>
      </c>
      <c r="F84">
        <f t="shared" si="4"/>
        <v>4443.4662200842604</v>
      </c>
    </row>
    <row r="85" spans="2:6" x14ac:dyDescent="0.55000000000000004">
      <c r="B85">
        <f t="shared" si="5"/>
        <v>1</v>
      </c>
      <c r="C85" t="s">
        <v>244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23120.881657291699</v>
      </c>
      <c r="E86">
        <f t="shared" si="3"/>
        <v>23120.881657291699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4099.2131988497304</v>
      </c>
      <c r="E87" t="str">
        <f t="shared" si="3"/>
        <v/>
      </c>
      <c r="F87">
        <f t="shared" si="4"/>
        <v>4099.2131988497304</v>
      </c>
    </row>
    <row r="88" spans="2:6" x14ac:dyDescent="0.55000000000000004">
      <c r="B88">
        <f t="shared" si="5"/>
        <v>1</v>
      </c>
      <c r="C88" t="s">
        <v>245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23576.865616367999</v>
      </c>
      <c r="E89">
        <f t="shared" si="3"/>
        <v>23576.865616367999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4020.8144368288099</v>
      </c>
      <c r="E90" t="str">
        <f t="shared" si="3"/>
        <v/>
      </c>
      <c r="F90">
        <f t="shared" si="4"/>
        <v>4020.8144368288099</v>
      </c>
    </row>
    <row r="91" spans="2:6" x14ac:dyDescent="0.55000000000000004">
      <c r="B91">
        <f t="shared" si="5"/>
        <v>1</v>
      </c>
      <c r="C91" t="s">
        <v>246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23094.931023160902</v>
      </c>
      <c r="E92">
        <f t="shared" si="3"/>
        <v>23094.931023160902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4108.5959770996096</v>
      </c>
      <c r="E93" t="str">
        <f t="shared" si="3"/>
        <v/>
      </c>
      <c r="F93">
        <f t="shared" si="4"/>
        <v>4108.5959770996096</v>
      </c>
    </row>
    <row r="94" spans="2:6" x14ac:dyDescent="0.55000000000000004">
      <c r="B94">
        <f t="shared" si="5"/>
        <v>1</v>
      </c>
      <c r="C94" t="s">
        <v>247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22198.4640186084</v>
      </c>
      <c r="E95">
        <f t="shared" si="3"/>
        <v>22198.4640186084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4241.8067144202196</v>
      </c>
      <c r="E96" t="str">
        <f t="shared" si="3"/>
        <v/>
      </c>
      <c r="F96">
        <f t="shared" si="4"/>
        <v>4241.8067144202196</v>
      </c>
    </row>
    <row r="97" spans="2:6" x14ac:dyDescent="0.55000000000000004">
      <c r="B97">
        <f t="shared" si="5"/>
        <v>1</v>
      </c>
      <c r="C97" t="s">
        <v>248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21637.056749429001</v>
      </c>
      <c r="E98">
        <f t="shared" si="3"/>
        <v>21637.056749429001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4467.48669978002</v>
      </c>
      <c r="E99" t="str">
        <f t="shared" si="3"/>
        <v/>
      </c>
      <c r="F99">
        <f t="shared" si="4"/>
        <v>4467.48669978002</v>
      </c>
    </row>
    <row r="100" spans="2:6" x14ac:dyDescent="0.55000000000000004">
      <c r="B100">
        <f t="shared" si="5"/>
        <v>1</v>
      </c>
      <c r="C100" t="s">
        <v>249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23042.405756198299</v>
      </c>
      <c r="E101">
        <f t="shared" si="3"/>
        <v>23042.405756198299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4144.1587002104297</v>
      </c>
      <c r="E102" t="str">
        <f t="shared" si="3"/>
        <v/>
      </c>
      <c r="F102">
        <f t="shared" si="4"/>
        <v>4144.1587002104297</v>
      </c>
    </row>
    <row r="103" spans="2:6" x14ac:dyDescent="0.55000000000000004">
      <c r="B103">
        <f t="shared" si="5"/>
        <v>1</v>
      </c>
      <c r="C103" t="s">
        <v>250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21650.132904697901</v>
      </c>
      <c r="E104">
        <f t="shared" si="3"/>
        <v>21650.132904697901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4452.8540039610098</v>
      </c>
      <c r="E105" t="str">
        <f t="shared" si="3"/>
        <v/>
      </c>
      <c r="F105">
        <f t="shared" si="4"/>
        <v>4452.8540039610098</v>
      </c>
    </row>
    <row r="106" spans="2:6" x14ac:dyDescent="0.55000000000000004">
      <c r="B106">
        <f t="shared" si="5"/>
        <v>1</v>
      </c>
      <c r="C106" t="s">
        <v>251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23576.4873158351</v>
      </c>
      <c r="E107">
        <f t="shared" si="3"/>
        <v>23576.4873158351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4030.7585778605999</v>
      </c>
      <c r="E108" t="str">
        <f t="shared" si="3"/>
        <v/>
      </c>
      <c r="F108">
        <f t="shared" si="4"/>
        <v>4030.7585778605999</v>
      </c>
    </row>
    <row r="109" spans="2:6" x14ac:dyDescent="0.55000000000000004">
      <c r="B109">
        <f t="shared" si="5"/>
        <v>1</v>
      </c>
      <c r="C109" t="s">
        <v>252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22590.975776953299</v>
      </c>
      <c r="E110">
        <f t="shared" si="3"/>
        <v>22590.975776953299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4174.2101834479099</v>
      </c>
      <c r="E111" t="str">
        <f t="shared" si="3"/>
        <v/>
      </c>
      <c r="F111">
        <f t="shared" si="4"/>
        <v>4174.2101834479099</v>
      </c>
    </row>
    <row r="112" spans="2:6" x14ac:dyDescent="0.55000000000000004">
      <c r="B112">
        <f t="shared" si="5"/>
        <v>1</v>
      </c>
      <c r="C112" t="s">
        <v>253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22153.676967826199</v>
      </c>
      <c r="E113">
        <f t="shared" si="3"/>
        <v>22153.676967826199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4283.5902930030297</v>
      </c>
      <c r="E114" t="str">
        <f t="shared" si="3"/>
        <v/>
      </c>
      <c r="F114">
        <f t="shared" si="4"/>
        <v>4283.5902930030297</v>
      </c>
    </row>
    <row r="115" spans="2:6" x14ac:dyDescent="0.55000000000000004">
      <c r="B115">
        <f t="shared" si="5"/>
        <v>1</v>
      </c>
      <c r="C115" t="s">
        <v>28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21638.658207340301</v>
      </c>
      <c r="E116">
        <f t="shared" si="3"/>
        <v>21638.658207340301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4460.1794562999403</v>
      </c>
      <c r="E117" t="str">
        <f t="shared" si="3"/>
        <v/>
      </c>
      <c r="F117">
        <f t="shared" si="4"/>
        <v>4460.1794562999403</v>
      </c>
    </row>
    <row r="118" spans="2:6" x14ac:dyDescent="0.55000000000000004">
      <c r="B118">
        <f t="shared" si="5"/>
        <v>1</v>
      </c>
      <c r="C118" t="s">
        <v>254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21634.500433184101</v>
      </c>
      <c r="E119">
        <f t="shared" si="3"/>
        <v>21634.500433184101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4481.6737143173004</v>
      </c>
      <c r="E120" t="str">
        <f t="shared" si="3"/>
        <v/>
      </c>
      <c r="F120">
        <f t="shared" si="4"/>
        <v>4481.6737143173004</v>
      </c>
    </row>
    <row r="121" spans="2:6" x14ac:dyDescent="0.55000000000000004">
      <c r="B121">
        <f t="shared" si="5"/>
        <v>1</v>
      </c>
      <c r="C121" t="s">
        <v>255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21687.313350775501</v>
      </c>
      <c r="E122">
        <f t="shared" si="3"/>
        <v>21687.313350775501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4396.4051138279701</v>
      </c>
      <c r="E123" t="str">
        <f t="shared" si="3"/>
        <v/>
      </c>
      <c r="F123">
        <f t="shared" si="4"/>
        <v>4396.4051138279701</v>
      </c>
    </row>
    <row r="124" spans="2:6" x14ac:dyDescent="0.55000000000000004">
      <c r="B124">
        <f>IF(B123&lt;3,B123+1,1)</f>
        <v>1</v>
      </c>
      <c r="C124" t="s">
        <v>256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68" si="6">IF(B124&lt;3,B124+1,1)</f>
        <v>2</v>
      </c>
      <c r="C125">
        <v>21803.187573069899</v>
      </c>
      <c r="E125">
        <f t="shared" si="3"/>
        <v>21803.187573069899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4350.2699300782197</v>
      </c>
      <c r="E126" t="str">
        <f t="shared" si="3"/>
        <v/>
      </c>
      <c r="F126">
        <f t="shared" si="4"/>
        <v>4350.2699300782197</v>
      </c>
    </row>
    <row r="127" spans="2:6" x14ac:dyDescent="0.55000000000000004">
      <c r="B127">
        <f t="shared" si="6"/>
        <v>1</v>
      </c>
      <c r="C127" t="s">
        <v>257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23055.0822361832</v>
      </c>
      <c r="E128">
        <f t="shared" si="3"/>
        <v>23055.0822361832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4114.1013442881303</v>
      </c>
      <c r="E129" t="str">
        <f t="shared" si="3"/>
        <v/>
      </c>
      <c r="F129">
        <f t="shared" si="4"/>
        <v>4114.1013442881303</v>
      </c>
    </row>
    <row r="130" spans="2:6" x14ac:dyDescent="0.55000000000000004">
      <c r="B130">
        <f t="shared" si="6"/>
        <v>1</v>
      </c>
      <c r="C130" t="s">
        <v>258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23058.025011624901</v>
      </c>
      <c r="E131">
        <f t="shared" si="3"/>
        <v>23058.025011624901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4113.9013092320101</v>
      </c>
      <c r="E132" t="str">
        <f t="shared" si="3"/>
        <v/>
      </c>
      <c r="F132">
        <f t="shared" si="4"/>
        <v>4113.9013092320101</v>
      </c>
    </row>
    <row r="133" spans="2:6" x14ac:dyDescent="0.55000000000000004">
      <c r="B133">
        <f t="shared" si="6"/>
        <v>1</v>
      </c>
      <c r="C133" t="s">
        <v>259</v>
      </c>
      <c r="E133" t="str">
        <f t="shared" ref="E133:E168" si="7">IF(B133=2,C133,"")</f>
        <v/>
      </c>
      <c r="F133" t="str">
        <f t="shared" ref="F133:F168" si="8">IF(B133=3,C133,"")</f>
        <v/>
      </c>
    </row>
    <row r="134" spans="2:6" x14ac:dyDescent="0.55000000000000004">
      <c r="B134">
        <f t="shared" si="6"/>
        <v>2</v>
      </c>
      <c r="C134">
        <v>23569.979386346</v>
      </c>
      <c r="E134">
        <f t="shared" si="7"/>
        <v>23569.979386346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4038.7900971755798</v>
      </c>
      <c r="E135" t="str">
        <f t="shared" si="7"/>
        <v/>
      </c>
      <c r="F135">
        <f t="shared" si="8"/>
        <v>4038.7900971755798</v>
      </c>
    </row>
    <row r="136" spans="2:6" x14ac:dyDescent="0.55000000000000004">
      <c r="B136">
        <f t="shared" si="6"/>
        <v>1</v>
      </c>
      <c r="C136" t="s">
        <v>260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22565.570880582</v>
      </c>
      <c r="E137">
        <f t="shared" si="7"/>
        <v>22565.570880582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4180.0688546064002</v>
      </c>
      <c r="E138" t="str">
        <f t="shared" si="7"/>
        <v/>
      </c>
      <c r="F138">
        <f t="shared" si="8"/>
        <v>4180.0688546064002</v>
      </c>
    </row>
    <row r="139" spans="2:6" x14ac:dyDescent="0.55000000000000004">
      <c r="B139">
        <f t="shared" si="6"/>
        <v>1</v>
      </c>
      <c r="C139" t="s">
        <v>27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22576.649598796299</v>
      </c>
      <c r="E140">
        <f t="shared" si="7"/>
        <v>22576.649598796299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4174.3281418022498</v>
      </c>
      <c r="E141" t="str">
        <f t="shared" si="7"/>
        <v/>
      </c>
      <c r="F141">
        <f t="shared" si="8"/>
        <v>4174.3281418022498</v>
      </c>
    </row>
    <row r="142" spans="2:6" x14ac:dyDescent="0.55000000000000004">
      <c r="B142">
        <f t="shared" si="6"/>
        <v>1</v>
      </c>
      <c r="C142" t="s">
        <v>261</v>
      </c>
      <c r="E142" t="str">
        <f t="shared" si="7"/>
        <v/>
      </c>
      <c r="F142" t="str">
        <f t="shared" si="8"/>
        <v/>
      </c>
    </row>
    <row r="143" spans="2:6" x14ac:dyDescent="0.55000000000000004">
      <c r="B143">
        <f t="shared" si="6"/>
        <v>2</v>
      </c>
      <c r="C143">
        <v>22567.895987415399</v>
      </c>
      <c r="E143">
        <f t="shared" si="7"/>
        <v>22567.895987415399</v>
      </c>
      <c r="F143" t="str">
        <f t="shared" si="8"/>
        <v/>
      </c>
    </row>
    <row r="144" spans="2:6" x14ac:dyDescent="0.55000000000000004">
      <c r="B144">
        <f t="shared" si="6"/>
        <v>3</v>
      </c>
      <c r="C144">
        <v>4179.0687938143801</v>
      </c>
      <c r="E144" t="str">
        <f t="shared" si="7"/>
        <v/>
      </c>
      <c r="F144">
        <f t="shared" si="8"/>
        <v>4179.0687938143801</v>
      </c>
    </row>
    <row r="145" spans="2:6" x14ac:dyDescent="0.55000000000000004">
      <c r="B145">
        <f t="shared" si="6"/>
        <v>1</v>
      </c>
      <c r="C145" t="s">
        <v>262</v>
      </c>
      <c r="E145" t="str">
        <f t="shared" si="7"/>
        <v/>
      </c>
      <c r="F145" t="str">
        <f t="shared" si="8"/>
        <v/>
      </c>
    </row>
    <row r="146" spans="2:6" x14ac:dyDescent="0.55000000000000004">
      <c r="B146">
        <f t="shared" si="6"/>
        <v>2</v>
      </c>
      <c r="C146">
        <v>21683.9123290319</v>
      </c>
      <c r="E146">
        <f t="shared" si="7"/>
        <v>21683.9123290319</v>
      </c>
      <c r="F146" t="str">
        <f t="shared" si="8"/>
        <v/>
      </c>
    </row>
    <row r="147" spans="2:6" x14ac:dyDescent="0.55000000000000004">
      <c r="B147">
        <f t="shared" si="6"/>
        <v>3</v>
      </c>
      <c r="C147">
        <v>4398.5099313254796</v>
      </c>
      <c r="E147" t="str">
        <f t="shared" si="7"/>
        <v/>
      </c>
      <c r="F147">
        <f t="shared" si="8"/>
        <v>4398.5099313254796</v>
      </c>
    </row>
    <row r="148" spans="2:6" x14ac:dyDescent="0.55000000000000004">
      <c r="B148">
        <f t="shared" si="6"/>
        <v>1</v>
      </c>
      <c r="C148" t="s">
        <v>263</v>
      </c>
      <c r="E148" t="str">
        <f t="shared" si="7"/>
        <v/>
      </c>
      <c r="F148" t="str">
        <f t="shared" si="8"/>
        <v/>
      </c>
    </row>
    <row r="149" spans="2:6" x14ac:dyDescent="0.55000000000000004">
      <c r="B149">
        <f t="shared" si="6"/>
        <v>2</v>
      </c>
      <c r="C149">
        <v>23040.145359539099</v>
      </c>
      <c r="E149">
        <f t="shared" si="7"/>
        <v>23040.145359539099</v>
      </c>
      <c r="F149" t="str">
        <f t="shared" si="8"/>
        <v/>
      </c>
    </row>
    <row r="150" spans="2:6" x14ac:dyDescent="0.55000000000000004">
      <c r="B150">
        <f t="shared" si="6"/>
        <v>3</v>
      </c>
      <c r="C150">
        <v>4144.86140714252</v>
      </c>
      <c r="E150" t="str">
        <f t="shared" si="7"/>
        <v/>
      </c>
      <c r="F150">
        <f t="shared" si="8"/>
        <v>4144.86140714252</v>
      </c>
    </row>
    <row r="151" spans="2:6" x14ac:dyDescent="0.55000000000000004">
      <c r="B151">
        <f t="shared" si="6"/>
        <v>1</v>
      </c>
      <c r="C151" t="s">
        <v>264</v>
      </c>
      <c r="E151" t="str">
        <f t="shared" si="7"/>
        <v/>
      </c>
      <c r="F151" t="str">
        <f t="shared" si="8"/>
        <v/>
      </c>
    </row>
    <row r="152" spans="2:6" x14ac:dyDescent="0.55000000000000004">
      <c r="B152">
        <f t="shared" si="6"/>
        <v>2</v>
      </c>
      <c r="C152">
        <v>23569.900575371499</v>
      </c>
      <c r="E152">
        <f t="shared" si="7"/>
        <v>23569.900575371499</v>
      </c>
      <c r="F152" t="str">
        <f t="shared" si="8"/>
        <v/>
      </c>
    </row>
    <row r="153" spans="2:6" x14ac:dyDescent="0.55000000000000004">
      <c r="B153">
        <f t="shared" si="6"/>
        <v>3</v>
      </c>
      <c r="C153">
        <v>4040.5800631076099</v>
      </c>
      <c r="E153" t="str">
        <f t="shared" si="7"/>
        <v/>
      </c>
      <c r="F153">
        <f t="shared" si="8"/>
        <v>4040.5800631076099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5F77-6640-4CA7-AC75-1A38B9B0AF75}">
  <dimension ref="A1:EN147"/>
  <sheetViews>
    <sheetView workbookViewId="0">
      <selection activeCell="J7" sqref="J7"/>
    </sheetView>
  </sheetViews>
  <sheetFormatPr defaultRowHeight="14.4" x14ac:dyDescent="0.55000000000000004"/>
  <cols>
    <col min="13" max="13" width="10.1015625" customWidth="1"/>
    <col min="14" max="14" width="11" customWidth="1"/>
  </cols>
  <sheetData>
    <row r="1" spans="1:144" x14ac:dyDescent="0.55000000000000004">
      <c r="A1" t="s">
        <v>265</v>
      </c>
      <c r="B1">
        <v>24300.316494379698</v>
      </c>
      <c r="C1">
        <v>3618.4963660477401</v>
      </c>
      <c r="D1" t="s">
        <v>266</v>
      </c>
      <c r="E1">
        <v>21118.398047952502</v>
      </c>
      <c r="F1">
        <v>3961.0856344970398</v>
      </c>
      <c r="G1" t="s">
        <v>267</v>
      </c>
      <c r="H1">
        <v>21616.694426540798</v>
      </c>
      <c r="I1">
        <v>3872.7949566628999</v>
      </c>
      <c r="J1" t="s">
        <v>268</v>
      </c>
      <c r="K1">
        <v>22693.275358038802</v>
      </c>
      <c r="L1">
        <v>3785.1203147158399</v>
      </c>
      <c r="M1" t="s">
        <v>269</v>
      </c>
      <c r="N1">
        <v>21246.601652670299</v>
      </c>
      <c r="O1">
        <v>3925.0210959999199</v>
      </c>
      <c r="P1" t="s">
        <v>270</v>
      </c>
      <c r="Q1">
        <v>23774.9093414864</v>
      </c>
      <c r="R1">
        <v>3645.4509766461601</v>
      </c>
      <c r="S1" t="s">
        <v>271</v>
      </c>
      <c r="T1">
        <v>24297.3502390635</v>
      </c>
      <c r="U1">
        <v>3642.5423127070198</v>
      </c>
      <c r="V1" t="s">
        <v>272</v>
      </c>
      <c r="W1">
        <v>23272.885386963299</v>
      </c>
      <c r="X1">
        <v>3689.9847994052602</v>
      </c>
      <c r="Y1" t="s">
        <v>273</v>
      </c>
      <c r="Z1">
        <v>22280.166569036199</v>
      </c>
      <c r="AA1">
        <v>3794.8697014497602</v>
      </c>
      <c r="AB1" t="s">
        <v>274</v>
      </c>
      <c r="AC1">
        <v>21824.171208142099</v>
      </c>
      <c r="AD1">
        <v>3848.0603130263598</v>
      </c>
      <c r="AE1" t="s">
        <v>275</v>
      </c>
      <c r="AF1">
        <v>23762.000931967199</v>
      </c>
      <c r="AG1">
        <v>3676.0610676500401</v>
      </c>
      <c r="AH1" t="s">
        <v>276</v>
      </c>
      <c r="AI1">
        <v>22776.6989811024</v>
      </c>
      <c r="AJ1">
        <v>3736.6484920549601</v>
      </c>
      <c r="AK1" t="s">
        <v>91</v>
      </c>
      <c r="AL1">
        <v>23234.591426829102</v>
      </c>
      <c r="AM1">
        <v>3723.2787113684299</v>
      </c>
      <c r="AN1" t="s">
        <v>277</v>
      </c>
      <c r="AO1">
        <v>22132.239174745799</v>
      </c>
      <c r="AP1">
        <v>3825.0721690692799</v>
      </c>
      <c r="AQ1" t="s">
        <v>278</v>
      </c>
      <c r="AR1">
        <v>22751.732625850698</v>
      </c>
      <c r="AS1">
        <v>3746.20041439344</v>
      </c>
      <c r="AT1" t="s">
        <v>279</v>
      </c>
      <c r="AU1">
        <v>21815.275110082399</v>
      </c>
      <c r="AV1">
        <v>3864.75795271783</v>
      </c>
      <c r="AW1" t="s">
        <v>280</v>
      </c>
      <c r="AX1">
        <v>23764.8718836722</v>
      </c>
      <c r="AY1">
        <v>3673.7287219508999</v>
      </c>
      <c r="AZ1" t="s">
        <v>281</v>
      </c>
      <c r="BA1">
        <v>22172.384963562301</v>
      </c>
      <c r="BB1">
        <v>3802.27637675802</v>
      </c>
      <c r="BC1" t="s">
        <v>282</v>
      </c>
      <c r="BD1">
        <v>21822.555335755002</v>
      </c>
      <c r="BE1">
        <v>3863.0006157952398</v>
      </c>
      <c r="BF1" t="s">
        <v>283</v>
      </c>
      <c r="BG1">
        <v>22133.537077538102</v>
      </c>
      <c r="BH1">
        <v>3824.5285082968098</v>
      </c>
      <c r="BI1" t="s">
        <v>284</v>
      </c>
      <c r="BJ1">
        <v>21126.5494819124</v>
      </c>
      <c r="BK1">
        <v>3952.4226078173801</v>
      </c>
      <c r="BL1" t="s">
        <v>285</v>
      </c>
      <c r="BM1">
        <v>22137.842190951698</v>
      </c>
      <c r="BN1">
        <v>3808.8916661725302</v>
      </c>
      <c r="BO1" t="s">
        <v>286</v>
      </c>
      <c r="BP1">
        <v>23241.853296169</v>
      </c>
      <c r="BQ1">
        <v>3706.6458172767002</v>
      </c>
      <c r="BR1" t="s">
        <v>287</v>
      </c>
      <c r="BS1">
        <v>21153.8068000446</v>
      </c>
      <c r="BT1">
        <v>3944.9812569636201</v>
      </c>
      <c r="BU1" t="s">
        <v>288</v>
      </c>
      <c r="BV1">
        <v>23254.253146348201</v>
      </c>
      <c r="BW1">
        <v>3700.10505957535</v>
      </c>
      <c r="BX1" t="s">
        <v>289</v>
      </c>
      <c r="BY1">
        <v>23254.293509721301</v>
      </c>
      <c r="BZ1">
        <v>3695.69121078232</v>
      </c>
      <c r="CA1" t="s">
        <v>290</v>
      </c>
      <c r="CB1">
        <v>21214.5725162483</v>
      </c>
      <c r="CC1">
        <v>3928.3469120279301</v>
      </c>
      <c r="CD1" t="s">
        <v>291</v>
      </c>
      <c r="CE1">
        <v>21123.788102910999</v>
      </c>
      <c r="CF1">
        <v>3958.3041106963701</v>
      </c>
      <c r="CG1" t="s">
        <v>292</v>
      </c>
      <c r="CH1">
        <v>22149.905102659501</v>
      </c>
      <c r="CI1">
        <v>3804.8261580400699</v>
      </c>
      <c r="CJ1" t="s">
        <v>293</v>
      </c>
      <c r="CK1">
        <v>23236.7895069515</v>
      </c>
      <c r="CL1">
        <v>3721.6917923207002</v>
      </c>
      <c r="CM1" t="s">
        <v>294</v>
      </c>
      <c r="CN1">
        <v>21162.9349265737</v>
      </c>
      <c r="CO1">
        <v>3935.0945762648298</v>
      </c>
      <c r="CP1" t="s">
        <v>295</v>
      </c>
      <c r="CQ1">
        <v>23237.388613225699</v>
      </c>
      <c r="CR1">
        <v>3713.4887327024499</v>
      </c>
      <c r="CS1" t="s">
        <v>296</v>
      </c>
      <c r="CT1">
        <v>21161.364483275702</v>
      </c>
      <c r="CU1">
        <v>3941.38004866131</v>
      </c>
      <c r="CV1" t="s">
        <v>297</v>
      </c>
      <c r="CW1">
        <v>22770.650638535299</v>
      </c>
      <c r="CX1">
        <v>3738.8851186382399</v>
      </c>
      <c r="CY1" t="s">
        <v>236</v>
      </c>
      <c r="CZ1">
        <v>23240.901521493201</v>
      </c>
      <c r="DA1">
        <v>3713.2805840664</v>
      </c>
      <c r="DB1" t="s">
        <v>298</v>
      </c>
      <c r="DC1">
        <v>21238.1737476292</v>
      </c>
      <c r="DD1">
        <v>3926.3288783514799</v>
      </c>
      <c r="DE1" t="s">
        <v>299</v>
      </c>
      <c r="DF1">
        <v>22759.5079742093</v>
      </c>
      <c r="DG1">
        <v>3742.4413926587999</v>
      </c>
      <c r="DH1" t="s">
        <v>300</v>
      </c>
      <c r="DI1">
        <v>21168.292394081702</v>
      </c>
      <c r="DJ1">
        <v>3928.3990569204898</v>
      </c>
      <c r="DK1" t="s">
        <v>301</v>
      </c>
      <c r="DL1">
        <v>22144.571421700199</v>
      </c>
      <c r="DM1">
        <v>3808.41502935996</v>
      </c>
      <c r="DN1" t="s">
        <v>302</v>
      </c>
      <c r="DO1">
        <v>22751.8891372736</v>
      </c>
      <c r="DP1">
        <v>3743.3579062679701</v>
      </c>
      <c r="DQ1" t="s">
        <v>303</v>
      </c>
      <c r="DR1">
        <v>21160.653097734899</v>
      </c>
      <c r="DS1">
        <v>3943.0727676572201</v>
      </c>
      <c r="DT1" t="s">
        <v>304</v>
      </c>
      <c r="DU1">
        <v>21165.0440665756</v>
      </c>
      <c r="DV1">
        <v>3931.6227844141799</v>
      </c>
      <c r="DW1" t="s">
        <v>305</v>
      </c>
      <c r="DX1">
        <v>21164.1541834278</v>
      </c>
      <c r="DY1">
        <v>3933.0703526162301</v>
      </c>
      <c r="DZ1" t="s">
        <v>306</v>
      </c>
      <c r="EA1">
        <v>21165.274301540099</v>
      </c>
      <c r="EB1">
        <v>3929.3430829181998</v>
      </c>
      <c r="EC1" t="s">
        <v>307</v>
      </c>
      <c r="ED1">
        <v>23764.472280848498</v>
      </c>
      <c r="EE1">
        <v>3675.9667026952102</v>
      </c>
      <c r="EF1" t="s">
        <v>308</v>
      </c>
      <c r="EG1">
        <v>23234.8723179671</v>
      </c>
      <c r="EH1">
        <v>3721.8695454747799</v>
      </c>
      <c r="EI1" t="s">
        <v>309</v>
      </c>
      <c r="EJ1">
        <v>22138.210480654401</v>
      </c>
      <c r="EK1">
        <v>3808.8765956238799</v>
      </c>
      <c r="EL1" t="s">
        <v>310</v>
      </c>
      <c r="EM1">
        <v>23238.0113316118</v>
      </c>
      <c r="EN1">
        <v>3713.320667684</v>
      </c>
    </row>
    <row r="3" spans="1:144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144" x14ac:dyDescent="0.55000000000000004">
      <c r="B4">
        <f>1</f>
        <v>1</v>
      </c>
      <c r="C4" t="s">
        <v>265</v>
      </c>
      <c r="E4" t="str">
        <f>IF(B4=2,C4,"")</f>
        <v/>
      </c>
      <c r="F4" t="str">
        <f>IF(B4=3,C4,"")</f>
        <v/>
      </c>
      <c r="H4">
        <f>MIN(E4:E168)</f>
        <v>21118.398047952502</v>
      </c>
      <c r="I4">
        <f>MAX(E4:E168)</f>
        <v>24300.316494379698</v>
      </c>
      <c r="J4">
        <f>MIN(F4:F168)</f>
        <v>3618.4963660477401</v>
      </c>
      <c r="K4">
        <f>MAX(F4:F168)</f>
        <v>3961.0856344970398</v>
      </c>
      <c r="L4">
        <f>SUMIF(B4:B165,1)</f>
        <v>48</v>
      </c>
    </row>
    <row r="5" spans="1:144" x14ac:dyDescent="0.55000000000000004">
      <c r="B5">
        <f>IF(B4&lt;3,B4+1,1)</f>
        <v>2</v>
      </c>
      <c r="C5">
        <v>24300.316494379698</v>
      </c>
      <c r="E5">
        <f t="shared" ref="E5:E68" si="0">IF(B5=2,C5,"")</f>
        <v>24300.316494379698</v>
      </c>
      <c r="F5" t="str">
        <f t="shared" ref="F5:F68" si="1">IF(B5=3,C5,"")</f>
        <v/>
      </c>
    </row>
    <row r="6" spans="1:144" x14ac:dyDescent="0.55000000000000004">
      <c r="B6">
        <f t="shared" ref="B6:B69" si="2">IF(B5&lt;3,B5+1,1)</f>
        <v>3</v>
      </c>
      <c r="C6">
        <v>3618.4963660477401</v>
      </c>
      <c r="E6" t="str">
        <f t="shared" si="0"/>
        <v/>
      </c>
      <c r="F6">
        <f t="shared" si="1"/>
        <v>3618.4963660477401</v>
      </c>
    </row>
    <row r="7" spans="1:144" x14ac:dyDescent="0.55000000000000004">
      <c r="B7">
        <f t="shared" si="2"/>
        <v>1</v>
      </c>
      <c r="C7" t="s">
        <v>266</v>
      </c>
      <c r="E7" t="str">
        <f t="shared" si="0"/>
        <v/>
      </c>
      <c r="F7" t="str">
        <f t="shared" si="1"/>
        <v/>
      </c>
    </row>
    <row r="8" spans="1:144" x14ac:dyDescent="0.55000000000000004">
      <c r="B8">
        <f t="shared" si="2"/>
        <v>2</v>
      </c>
      <c r="C8">
        <v>21118.398047952502</v>
      </c>
      <c r="E8">
        <f t="shared" si="0"/>
        <v>21118.398047952502</v>
      </c>
      <c r="F8" t="str">
        <f t="shared" si="1"/>
        <v/>
      </c>
    </row>
    <row r="9" spans="1:144" x14ac:dyDescent="0.55000000000000004">
      <c r="B9">
        <f t="shared" si="2"/>
        <v>3</v>
      </c>
      <c r="C9">
        <v>3961.0856344970398</v>
      </c>
      <c r="E9" t="str">
        <f t="shared" si="0"/>
        <v/>
      </c>
      <c r="F9">
        <f t="shared" si="1"/>
        <v>3961.0856344970398</v>
      </c>
    </row>
    <row r="10" spans="1:144" x14ac:dyDescent="0.55000000000000004">
      <c r="B10">
        <f t="shared" si="2"/>
        <v>1</v>
      </c>
      <c r="C10" t="s">
        <v>267</v>
      </c>
      <c r="E10" t="str">
        <f t="shared" si="0"/>
        <v/>
      </c>
      <c r="F10" t="str">
        <f t="shared" si="1"/>
        <v/>
      </c>
    </row>
    <row r="11" spans="1:144" x14ac:dyDescent="0.55000000000000004">
      <c r="B11">
        <f t="shared" si="2"/>
        <v>2</v>
      </c>
      <c r="C11">
        <v>21616.694426540798</v>
      </c>
      <c r="E11">
        <f t="shared" si="0"/>
        <v>21616.694426540798</v>
      </c>
      <c r="F11" t="str">
        <f t="shared" si="1"/>
        <v/>
      </c>
    </row>
    <row r="12" spans="1:144" x14ac:dyDescent="0.55000000000000004">
      <c r="B12">
        <f t="shared" si="2"/>
        <v>3</v>
      </c>
      <c r="C12">
        <v>3872.7949566628999</v>
      </c>
      <c r="E12" t="str">
        <f t="shared" si="0"/>
        <v/>
      </c>
      <c r="F12">
        <f t="shared" si="1"/>
        <v>3872.7949566628999</v>
      </c>
    </row>
    <row r="13" spans="1:144" x14ac:dyDescent="0.55000000000000004">
      <c r="B13">
        <f t="shared" si="2"/>
        <v>1</v>
      </c>
      <c r="C13" t="s">
        <v>268</v>
      </c>
      <c r="E13" t="str">
        <f t="shared" si="0"/>
        <v/>
      </c>
      <c r="F13" t="str">
        <f t="shared" si="1"/>
        <v/>
      </c>
    </row>
    <row r="14" spans="1:144" x14ac:dyDescent="0.55000000000000004">
      <c r="B14">
        <f t="shared" si="2"/>
        <v>2</v>
      </c>
      <c r="C14">
        <v>22693.275358038802</v>
      </c>
      <c r="E14">
        <f t="shared" si="0"/>
        <v>22693.275358038802</v>
      </c>
      <c r="F14" t="str">
        <f t="shared" si="1"/>
        <v/>
      </c>
    </row>
    <row r="15" spans="1:144" x14ac:dyDescent="0.55000000000000004">
      <c r="B15">
        <f t="shared" si="2"/>
        <v>3</v>
      </c>
      <c r="C15">
        <v>3785.1203147158399</v>
      </c>
      <c r="E15" t="str">
        <f t="shared" si="0"/>
        <v/>
      </c>
      <c r="F15">
        <f t="shared" si="1"/>
        <v>3785.1203147158399</v>
      </c>
    </row>
    <row r="16" spans="1:144" x14ac:dyDescent="0.55000000000000004">
      <c r="B16">
        <f t="shared" si="2"/>
        <v>1</v>
      </c>
      <c r="C16" t="s">
        <v>269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21246.601652670299</v>
      </c>
      <c r="E17">
        <f t="shared" si="0"/>
        <v>21246.601652670299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3925.0210959999199</v>
      </c>
      <c r="E18" t="str">
        <f t="shared" si="0"/>
        <v/>
      </c>
      <c r="F18">
        <f t="shared" si="1"/>
        <v>3925.0210959999199</v>
      </c>
    </row>
    <row r="19" spans="2:6" x14ac:dyDescent="0.55000000000000004">
      <c r="B19">
        <f t="shared" si="2"/>
        <v>1</v>
      </c>
      <c r="C19" t="s">
        <v>270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23774.9093414864</v>
      </c>
      <c r="E20">
        <f t="shared" si="0"/>
        <v>23774.9093414864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3645.4509766461601</v>
      </c>
      <c r="E21" t="str">
        <f t="shared" si="0"/>
        <v/>
      </c>
      <c r="F21">
        <f t="shared" si="1"/>
        <v>3645.4509766461601</v>
      </c>
    </row>
    <row r="22" spans="2:6" x14ac:dyDescent="0.55000000000000004">
      <c r="B22">
        <f t="shared" si="2"/>
        <v>1</v>
      </c>
      <c r="C22" t="s">
        <v>271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24297.3502390635</v>
      </c>
      <c r="E23">
        <f t="shared" si="0"/>
        <v>24297.3502390635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3642.5423127070198</v>
      </c>
      <c r="E24" t="str">
        <f t="shared" si="0"/>
        <v/>
      </c>
      <c r="F24">
        <f t="shared" si="1"/>
        <v>3642.5423127070198</v>
      </c>
    </row>
    <row r="25" spans="2:6" x14ac:dyDescent="0.55000000000000004">
      <c r="B25">
        <f t="shared" si="2"/>
        <v>1</v>
      </c>
      <c r="C25" t="s">
        <v>272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23272.885386963299</v>
      </c>
      <c r="E26">
        <f t="shared" si="0"/>
        <v>23272.885386963299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3689.9847994052602</v>
      </c>
      <c r="E27" t="str">
        <f t="shared" si="0"/>
        <v/>
      </c>
      <c r="F27">
        <f t="shared" si="1"/>
        <v>3689.9847994052602</v>
      </c>
    </row>
    <row r="28" spans="2:6" x14ac:dyDescent="0.55000000000000004">
      <c r="B28">
        <f t="shared" si="2"/>
        <v>1</v>
      </c>
      <c r="C28" t="s">
        <v>273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22280.166569036199</v>
      </c>
      <c r="E29">
        <f t="shared" si="0"/>
        <v>22280.166569036199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3794.8697014497602</v>
      </c>
      <c r="E30" t="str">
        <f t="shared" si="0"/>
        <v/>
      </c>
      <c r="F30">
        <f t="shared" si="1"/>
        <v>3794.8697014497602</v>
      </c>
    </row>
    <row r="31" spans="2:6" x14ac:dyDescent="0.55000000000000004">
      <c r="B31">
        <f t="shared" si="2"/>
        <v>1</v>
      </c>
      <c r="C31" t="s">
        <v>274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21824.171208142099</v>
      </c>
      <c r="E32">
        <f t="shared" si="0"/>
        <v>21824.171208142099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3848.0603130263598</v>
      </c>
      <c r="E33" t="str">
        <f t="shared" si="0"/>
        <v/>
      </c>
      <c r="F33">
        <f t="shared" si="1"/>
        <v>3848.0603130263598</v>
      </c>
    </row>
    <row r="34" spans="2:6" x14ac:dyDescent="0.55000000000000004">
      <c r="B34">
        <f t="shared" si="2"/>
        <v>1</v>
      </c>
      <c r="C34" t="s">
        <v>275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23762.000931967199</v>
      </c>
      <c r="E35">
        <f t="shared" si="0"/>
        <v>23762.000931967199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3676.0610676500401</v>
      </c>
      <c r="E36" t="str">
        <f t="shared" si="0"/>
        <v/>
      </c>
      <c r="F36">
        <f t="shared" si="1"/>
        <v>3676.0610676500401</v>
      </c>
    </row>
    <row r="37" spans="2:6" x14ac:dyDescent="0.55000000000000004">
      <c r="B37">
        <f t="shared" si="2"/>
        <v>1</v>
      </c>
      <c r="C37" t="s">
        <v>276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22776.6989811024</v>
      </c>
      <c r="E38">
        <f t="shared" si="0"/>
        <v>22776.6989811024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3736.6484920549601</v>
      </c>
      <c r="E39" t="str">
        <f t="shared" si="0"/>
        <v/>
      </c>
      <c r="F39">
        <f t="shared" si="1"/>
        <v>3736.6484920549601</v>
      </c>
    </row>
    <row r="40" spans="2:6" x14ac:dyDescent="0.55000000000000004">
      <c r="B40">
        <f t="shared" si="2"/>
        <v>1</v>
      </c>
      <c r="C40" t="s">
        <v>91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23234.591426829102</v>
      </c>
      <c r="E41">
        <f t="shared" si="0"/>
        <v>23234.591426829102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3723.2787113684299</v>
      </c>
      <c r="E42" t="str">
        <f t="shared" si="0"/>
        <v/>
      </c>
      <c r="F42">
        <f t="shared" si="1"/>
        <v>3723.2787113684299</v>
      </c>
    </row>
    <row r="43" spans="2:6" x14ac:dyDescent="0.55000000000000004">
      <c r="B43">
        <f t="shared" si="2"/>
        <v>1</v>
      </c>
      <c r="C43" t="s">
        <v>277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22132.239174745799</v>
      </c>
      <c r="E44">
        <f t="shared" si="0"/>
        <v>22132.239174745799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3825.0721690692799</v>
      </c>
      <c r="E45" t="str">
        <f t="shared" si="0"/>
        <v/>
      </c>
      <c r="F45">
        <f t="shared" si="1"/>
        <v>3825.0721690692799</v>
      </c>
    </row>
    <row r="46" spans="2:6" x14ac:dyDescent="0.55000000000000004">
      <c r="B46">
        <f t="shared" si="2"/>
        <v>1</v>
      </c>
      <c r="C46" t="s">
        <v>278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22751.732625850698</v>
      </c>
      <c r="E47">
        <f t="shared" si="0"/>
        <v>22751.732625850698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3746.20041439344</v>
      </c>
      <c r="E48" t="str">
        <f t="shared" si="0"/>
        <v/>
      </c>
      <c r="F48">
        <f t="shared" si="1"/>
        <v>3746.20041439344</v>
      </c>
    </row>
    <row r="49" spans="2:6" x14ac:dyDescent="0.55000000000000004">
      <c r="B49">
        <f t="shared" si="2"/>
        <v>1</v>
      </c>
      <c r="C49" t="s">
        <v>279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21815.275110082399</v>
      </c>
      <c r="E50">
        <f t="shared" si="0"/>
        <v>21815.275110082399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3864.75795271783</v>
      </c>
      <c r="E51" t="str">
        <f t="shared" si="0"/>
        <v/>
      </c>
      <c r="F51">
        <f t="shared" si="1"/>
        <v>3864.75795271783</v>
      </c>
    </row>
    <row r="52" spans="2:6" x14ac:dyDescent="0.55000000000000004">
      <c r="B52">
        <f t="shared" si="2"/>
        <v>1</v>
      </c>
      <c r="C52" t="s">
        <v>280</v>
      </c>
      <c r="E52" t="str">
        <f t="shared" si="0"/>
        <v/>
      </c>
      <c r="F52" t="str">
        <f t="shared" si="1"/>
        <v/>
      </c>
    </row>
    <row r="53" spans="2:6" x14ac:dyDescent="0.55000000000000004">
      <c r="B53">
        <f t="shared" si="2"/>
        <v>2</v>
      </c>
      <c r="C53">
        <v>23764.8718836722</v>
      </c>
      <c r="E53">
        <f t="shared" si="0"/>
        <v>23764.8718836722</v>
      </c>
      <c r="F53" t="str">
        <f t="shared" si="1"/>
        <v/>
      </c>
    </row>
    <row r="54" spans="2:6" x14ac:dyDescent="0.55000000000000004">
      <c r="B54">
        <f t="shared" si="2"/>
        <v>3</v>
      </c>
      <c r="C54">
        <v>3673.7287219508999</v>
      </c>
      <c r="E54" t="str">
        <f t="shared" si="0"/>
        <v/>
      </c>
      <c r="F54">
        <f t="shared" si="1"/>
        <v>3673.7287219508999</v>
      </c>
    </row>
    <row r="55" spans="2:6" x14ac:dyDescent="0.55000000000000004">
      <c r="B55">
        <f t="shared" si="2"/>
        <v>1</v>
      </c>
      <c r="C55" t="s">
        <v>281</v>
      </c>
      <c r="E55" t="str">
        <f t="shared" si="0"/>
        <v/>
      </c>
      <c r="F55" t="str">
        <f t="shared" si="1"/>
        <v/>
      </c>
    </row>
    <row r="56" spans="2:6" x14ac:dyDescent="0.55000000000000004">
      <c r="B56">
        <f t="shared" si="2"/>
        <v>2</v>
      </c>
      <c r="C56">
        <v>22172.384963562301</v>
      </c>
      <c r="E56">
        <f t="shared" si="0"/>
        <v>22172.384963562301</v>
      </c>
      <c r="F56" t="str">
        <f t="shared" si="1"/>
        <v/>
      </c>
    </row>
    <row r="57" spans="2:6" x14ac:dyDescent="0.55000000000000004">
      <c r="B57">
        <f t="shared" si="2"/>
        <v>3</v>
      </c>
      <c r="C57">
        <v>3802.27637675802</v>
      </c>
      <c r="E57" t="str">
        <f t="shared" si="0"/>
        <v/>
      </c>
      <c r="F57">
        <f t="shared" si="1"/>
        <v>3802.27637675802</v>
      </c>
    </row>
    <row r="58" spans="2:6" x14ac:dyDescent="0.55000000000000004">
      <c r="B58">
        <f t="shared" si="2"/>
        <v>1</v>
      </c>
      <c r="C58" t="s">
        <v>282</v>
      </c>
      <c r="E58" t="str">
        <f t="shared" si="0"/>
        <v/>
      </c>
      <c r="F58" t="str">
        <f t="shared" si="1"/>
        <v/>
      </c>
    </row>
    <row r="59" spans="2:6" x14ac:dyDescent="0.55000000000000004">
      <c r="B59">
        <f t="shared" si="2"/>
        <v>2</v>
      </c>
      <c r="C59">
        <v>21822.555335755002</v>
      </c>
      <c r="E59">
        <f t="shared" si="0"/>
        <v>21822.555335755002</v>
      </c>
      <c r="F59" t="str">
        <f t="shared" si="1"/>
        <v/>
      </c>
    </row>
    <row r="60" spans="2:6" x14ac:dyDescent="0.55000000000000004">
      <c r="B60">
        <f t="shared" si="2"/>
        <v>3</v>
      </c>
      <c r="C60">
        <v>3863.0006157952398</v>
      </c>
      <c r="E60" t="str">
        <f t="shared" si="0"/>
        <v/>
      </c>
      <c r="F60">
        <f t="shared" si="1"/>
        <v>3863.0006157952398</v>
      </c>
    </row>
    <row r="61" spans="2:6" x14ac:dyDescent="0.55000000000000004">
      <c r="B61">
        <f t="shared" si="2"/>
        <v>1</v>
      </c>
      <c r="C61" t="s">
        <v>283</v>
      </c>
      <c r="E61" t="str">
        <f t="shared" si="0"/>
        <v/>
      </c>
      <c r="F61" t="str">
        <f t="shared" si="1"/>
        <v/>
      </c>
    </row>
    <row r="62" spans="2:6" x14ac:dyDescent="0.55000000000000004">
      <c r="B62">
        <f t="shared" si="2"/>
        <v>2</v>
      </c>
      <c r="C62">
        <v>22133.537077538102</v>
      </c>
      <c r="E62">
        <f t="shared" si="0"/>
        <v>22133.537077538102</v>
      </c>
      <c r="F62" t="str">
        <f t="shared" si="1"/>
        <v/>
      </c>
    </row>
    <row r="63" spans="2:6" x14ac:dyDescent="0.55000000000000004">
      <c r="B63">
        <f t="shared" si="2"/>
        <v>3</v>
      </c>
      <c r="C63">
        <v>3824.5285082968098</v>
      </c>
      <c r="E63" t="str">
        <f t="shared" si="0"/>
        <v/>
      </c>
      <c r="F63">
        <f t="shared" si="1"/>
        <v>3824.5285082968098</v>
      </c>
    </row>
    <row r="64" spans="2:6" x14ac:dyDescent="0.55000000000000004">
      <c r="B64">
        <f t="shared" si="2"/>
        <v>1</v>
      </c>
      <c r="C64" t="s">
        <v>284</v>
      </c>
      <c r="E64" t="str">
        <f t="shared" si="0"/>
        <v/>
      </c>
      <c r="F64" t="str">
        <f t="shared" si="1"/>
        <v/>
      </c>
    </row>
    <row r="65" spans="2:6" x14ac:dyDescent="0.55000000000000004">
      <c r="B65">
        <f t="shared" si="2"/>
        <v>2</v>
      </c>
      <c r="C65">
        <v>21126.5494819124</v>
      </c>
      <c r="E65">
        <f t="shared" si="0"/>
        <v>21126.5494819124</v>
      </c>
      <c r="F65" t="str">
        <f t="shared" si="1"/>
        <v/>
      </c>
    </row>
    <row r="66" spans="2:6" x14ac:dyDescent="0.55000000000000004">
      <c r="B66">
        <f t="shared" si="2"/>
        <v>3</v>
      </c>
      <c r="C66">
        <v>3952.4226078173801</v>
      </c>
      <c r="E66" t="str">
        <f t="shared" si="0"/>
        <v/>
      </c>
      <c r="F66">
        <f t="shared" si="1"/>
        <v>3952.4226078173801</v>
      </c>
    </row>
    <row r="67" spans="2:6" x14ac:dyDescent="0.55000000000000004">
      <c r="B67">
        <f t="shared" si="2"/>
        <v>1</v>
      </c>
      <c r="C67" t="s">
        <v>285</v>
      </c>
      <c r="E67" t="str">
        <f t="shared" si="0"/>
        <v/>
      </c>
      <c r="F67" t="str">
        <f t="shared" si="1"/>
        <v/>
      </c>
    </row>
    <row r="68" spans="2:6" x14ac:dyDescent="0.55000000000000004">
      <c r="B68">
        <f t="shared" si="2"/>
        <v>2</v>
      </c>
      <c r="C68">
        <v>22137.842190951698</v>
      </c>
      <c r="E68">
        <f t="shared" si="0"/>
        <v>22137.842190951698</v>
      </c>
      <c r="F68" t="str">
        <f t="shared" si="1"/>
        <v/>
      </c>
    </row>
    <row r="69" spans="2:6" x14ac:dyDescent="0.55000000000000004">
      <c r="B69">
        <f t="shared" si="2"/>
        <v>3</v>
      </c>
      <c r="C69">
        <v>3808.8916661725302</v>
      </c>
      <c r="E69" t="str">
        <f t="shared" ref="E69:E132" si="3">IF(B69=2,C69,"")</f>
        <v/>
      </c>
      <c r="F69">
        <f t="shared" ref="F69:F132" si="4">IF(B69=3,C69,"")</f>
        <v>3808.8916661725302</v>
      </c>
    </row>
    <row r="70" spans="2:6" x14ac:dyDescent="0.55000000000000004">
      <c r="B70">
        <f t="shared" ref="B70:B123" si="5">IF(B69&lt;3,B69+1,1)</f>
        <v>1</v>
      </c>
      <c r="C70" t="s">
        <v>286</v>
      </c>
      <c r="E70" t="str">
        <f t="shared" si="3"/>
        <v/>
      </c>
      <c r="F70" t="str">
        <f t="shared" si="4"/>
        <v/>
      </c>
    </row>
    <row r="71" spans="2:6" x14ac:dyDescent="0.55000000000000004">
      <c r="B71">
        <f t="shared" si="5"/>
        <v>2</v>
      </c>
      <c r="C71">
        <v>23241.853296169</v>
      </c>
      <c r="E71">
        <f t="shared" si="3"/>
        <v>23241.853296169</v>
      </c>
      <c r="F71" t="str">
        <f t="shared" si="4"/>
        <v/>
      </c>
    </row>
    <row r="72" spans="2:6" x14ac:dyDescent="0.55000000000000004">
      <c r="B72">
        <f t="shared" si="5"/>
        <v>3</v>
      </c>
      <c r="C72">
        <v>3706.6458172767002</v>
      </c>
      <c r="E72" t="str">
        <f t="shared" si="3"/>
        <v/>
      </c>
      <c r="F72">
        <f t="shared" si="4"/>
        <v>3706.6458172767002</v>
      </c>
    </row>
    <row r="73" spans="2:6" x14ac:dyDescent="0.55000000000000004">
      <c r="B73">
        <f t="shared" si="5"/>
        <v>1</v>
      </c>
      <c r="C73" t="s">
        <v>287</v>
      </c>
      <c r="E73" t="str">
        <f t="shared" si="3"/>
        <v/>
      </c>
      <c r="F73" t="str">
        <f t="shared" si="4"/>
        <v/>
      </c>
    </row>
    <row r="74" spans="2:6" x14ac:dyDescent="0.55000000000000004">
      <c r="B74">
        <f t="shared" si="5"/>
        <v>2</v>
      </c>
      <c r="C74">
        <v>21153.8068000446</v>
      </c>
      <c r="E74">
        <f t="shared" si="3"/>
        <v>21153.8068000446</v>
      </c>
      <c r="F74" t="str">
        <f t="shared" si="4"/>
        <v/>
      </c>
    </row>
    <row r="75" spans="2:6" x14ac:dyDescent="0.55000000000000004">
      <c r="B75">
        <f t="shared" si="5"/>
        <v>3</v>
      </c>
      <c r="C75">
        <v>3944.9812569636201</v>
      </c>
      <c r="E75" t="str">
        <f t="shared" si="3"/>
        <v/>
      </c>
      <c r="F75">
        <f t="shared" si="4"/>
        <v>3944.9812569636201</v>
      </c>
    </row>
    <row r="76" spans="2:6" x14ac:dyDescent="0.55000000000000004">
      <c r="B76">
        <f t="shared" si="5"/>
        <v>1</v>
      </c>
      <c r="C76" t="s">
        <v>288</v>
      </c>
      <c r="E76" t="str">
        <f t="shared" si="3"/>
        <v/>
      </c>
      <c r="F76" t="str">
        <f t="shared" si="4"/>
        <v/>
      </c>
    </row>
    <row r="77" spans="2:6" x14ac:dyDescent="0.55000000000000004">
      <c r="B77">
        <f t="shared" si="5"/>
        <v>2</v>
      </c>
      <c r="C77">
        <v>23254.253146348201</v>
      </c>
      <c r="E77">
        <f t="shared" si="3"/>
        <v>23254.253146348201</v>
      </c>
      <c r="F77" t="str">
        <f t="shared" si="4"/>
        <v/>
      </c>
    </row>
    <row r="78" spans="2:6" x14ac:dyDescent="0.55000000000000004">
      <c r="B78">
        <f t="shared" si="5"/>
        <v>3</v>
      </c>
      <c r="C78">
        <v>3700.10505957535</v>
      </c>
      <c r="E78" t="str">
        <f t="shared" si="3"/>
        <v/>
      </c>
      <c r="F78">
        <f t="shared" si="4"/>
        <v>3700.10505957535</v>
      </c>
    </row>
    <row r="79" spans="2:6" x14ac:dyDescent="0.55000000000000004">
      <c r="B79">
        <f t="shared" si="5"/>
        <v>1</v>
      </c>
      <c r="C79" t="s">
        <v>289</v>
      </c>
      <c r="E79" t="str">
        <f t="shared" si="3"/>
        <v/>
      </c>
      <c r="F79" t="str">
        <f t="shared" si="4"/>
        <v/>
      </c>
    </row>
    <row r="80" spans="2:6" x14ac:dyDescent="0.55000000000000004">
      <c r="B80">
        <f t="shared" si="5"/>
        <v>2</v>
      </c>
      <c r="C80">
        <v>23254.293509721301</v>
      </c>
      <c r="E80">
        <f t="shared" si="3"/>
        <v>23254.293509721301</v>
      </c>
      <c r="F80" t="str">
        <f t="shared" si="4"/>
        <v/>
      </c>
    </row>
    <row r="81" spans="2:6" x14ac:dyDescent="0.55000000000000004">
      <c r="B81">
        <f t="shared" si="5"/>
        <v>3</v>
      </c>
      <c r="C81">
        <v>3695.69121078232</v>
      </c>
      <c r="E81" t="str">
        <f t="shared" si="3"/>
        <v/>
      </c>
      <c r="F81">
        <f t="shared" si="4"/>
        <v>3695.69121078232</v>
      </c>
    </row>
    <row r="82" spans="2:6" x14ac:dyDescent="0.55000000000000004">
      <c r="B82">
        <f t="shared" si="5"/>
        <v>1</v>
      </c>
      <c r="C82" t="s">
        <v>290</v>
      </c>
      <c r="E82" t="str">
        <f t="shared" si="3"/>
        <v/>
      </c>
      <c r="F82" t="str">
        <f t="shared" si="4"/>
        <v/>
      </c>
    </row>
    <row r="83" spans="2:6" x14ac:dyDescent="0.55000000000000004">
      <c r="B83">
        <f t="shared" si="5"/>
        <v>2</v>
      </c>
      <c r="C83">
        <v>21214.5725162483</v>
      </c>
      <c r="E83">
        <f t="shared" si="3"/>
        <v>21214.5725162483</v>
      </c>
      <c r="F83" t="str">
        <f t="shared" si="4"/>
        <v/>
      </c>
    </row>
    <row r="84" spans="2:6" x14ac:dyDescent="0.55000000000000004">
      <c r="B84">
        <f t="shared" si="5"/>
        <v>3</v>
      </c>
      <c r="C84">
        <v>3928.3469120279301</v>
      </c>
      <c r="E84" t="str">
        <f t="shared" si="3"/>
        <v/>
      </c>
      <c r="F84">
        <f t="shared" si="4"/>
        <v>3928.3469120279301</v>
      </c>
    </row>
    <row r="85" spans="2:6" x14ac:dyDescent="0.55000000000000004">
      <c r="B85">
        <f t="shared" si="5"/>
        <v>1</v>
      </c>
      <c r="C85" t="s">
        <v>291</v>
      </c>
      <c r="E85" t="str">
        <f t="shared" si="3"/>
        <v/>
      </c>
      <c r="F85" t="str">
        <f t="shared" si="4"/>
        <v/>
      </c>
    </row>
    <row r="86" spans="2:6" x14ac:dyDescent="0.55000000000000004">
      <c r="B86">
        <f t="shared" si="5"/>
        <v>2</v>
      </c>
      <c r="C86">
        <v>21123.788102910999</v>
      </c>
      <c r="E86">
        <f t="shared" si="3"/>
        <v>21123.788102910999</v>
      </c>
      <c r="F86" t="str">
        <f t="shared" si="4"/>
        <v/>
      </c>
    </row>
    <row r="87" spans="2:6" x14ac:dyDescent="0.55000000000000004">
      <c r="B87">
        <f t="shared" si="5"/>
        <v>3</v>
      </c>
      <c r="C87">
        <v>3958.3041106963701</v>
      </c>
      <c r="E87" t="str">
        <f t="shared" si="3"/>
        <v/>
      </c>
      <c r="F87">
        <f t="shared" si="4"/>
        <v>3958.3041106963701</v>
      </c>
    </row>
    <row r="88" spans="2:6" x14ac:dyDescent="0.55000000000000004">
      <c r="B88">
        <f t="shared" si="5"/>
        <v>1</v>
      </c>
      <c r="C88" t="s">
        <v>292</v>
      </c>
      <c r="E88" t="str">
        <f t="shared" si="3"/>
        <v/>
      </c>
      <c r="F88" t="str">
        <f t="shared" si="4"/>
        <v/>
      </c>
    </row>
    <row r="89" spans="2:6" x14ac:dyDescent="0.55000000000000004">
      <c r="B89">
        <f t="shared" si="5"/>
        <v>2</v>
      </c>
      <c r="C89">
        <v>22149.905102659501</v>
      </c>
      <c r="E89">
        <f t="shared" si="3"/>
        <v>22149.905102659501</v>
      </c>
      <c r="F89" t="str">
        <f t="shared" si="4"/>
        <v/>
      </c>
    </row>
    <row r="90" spans="2:6" x14ac:dyDescent="0.55000000000000004">
      <c r="B90">
        <f t="shared" si="5"/>
        <v>3</v>
      </c>
      <c r="C90">
        <v>3804.8261580400699</v>
      </c>
      <c r="E90" t="str">
        <f t="shared" si="3"/>
        <v/>
      </c>
      <c r="F90">
        <f t="shared" si="4"/>
        <v>3804.8261580400699</v>
      </c>
    </row>
    <row r="91" spans="2:6" x14ac:dyDescent="0.55000000000000004">
      <c r="B91">
        <f t="shared" si="5"/>
        <v>1</v>
      </c>
      <c r="C91" t="s">
        <v>293</v>
      </c>
      <c r="E91" t="str">
        <f t="shared" si="3"/>
        <v/>
      </c>
      <c r="F91" t="str">
        <f t="shared" si="4"/>
        <v/>
      </c>
    </row>
    <row r="92" spans="2:6" x14ac:dyDescent="0.55000000000000004">
      <c r="B92">
        <f t="shared" si="5"/>
        <v>2</v>
      </c>
      <c r="C92">
        <v>23236.7895069515</v>
      </c>
      <c r="E92">
        <f t="shared" si="3"/>
        <v>23236.7895069515</v>
      </c>
      <c r="F92" t="str">
        <f t="shared" si="4"/>
        <v/>
      </c>
    </row>
    <row r="93" spans="2:6" x14ac:dyDescent="0.55000000000000004">
      <c r="B93">
        <f t="shared" si="5"/>
        <v>3</v>
      </c>
      <c r="C93">
        <v>3721.6917923207002</v>
      </c>
      <c r="E93" t="str">
        <f t="shared" si="3"/>
        <v/>
      </c>
      <c r="F93">
        <f t="shared" si="4"/>
        <v>3721.6917923207002</v>
      </c>
    </row>
    <row r="94" spans="2:6" x14ac:dyDescent="0.55000000000000004">
      <c r="B94">
        <f t="shared" si="5"/>
        <v>1</v>
      </c>
      <c r="C94" t="s">
        <v>294</v>
      </c>
      <c r="E94" t="str">
        <f t="shared" si="3"/>
        <v/>
      </c>
      <c r="F94" t="str">
        <f t="shared" si="4"/>
        <v/>
      </c>
    </row>
    <row r="95" spans="2:6" x14ac:dyDescent="0.55000000000000004">
      <c r="B95">
        <f t="shared" si="5"/>
        <v>2</v>
      </c>
      <c r="C95">
        <v>21162.9349265737</v>
      </c>
      <c r="E95">
        <f t="shared" si="3"/>
        <v>21162.9349265737</v>
      </c>
      <c r="F95" t="str">
        <f t="shared" si="4"/>
        <v/>
      </c>
    </row>
    <row r="96" spans="2:6" x14ac:dyDescent="0.55000000000000004">
      <c r="B96">
        <f t="shared" si="5"/>
        <v>3</v>
      </c>
      <c r="C96">
        <v>3935.0945762648298</v>
      </c>
      <c r="E96" t="str">
        <f t="shared" si="3"/>
        <v/>
      </c>
      <c r="F96">
        <f t="shared" si="4"/>
        <v>3935.0945762648298</v>
      </c>
    </row>
    <row r="97" spans="2:6" x14ac:dyDescent="0.55000000000000004">
      <c r="B97">
        <f t="shared" si="5"/>
        <v>1</v>
      </c>
      <c r="C97" t="s">
        <v>295</v>
      </c>
      <c r="E97" t="str">
        <f t="shared" si="3"/>
        <v/>
      </c>
      <c r="F97" t="str">
        <f t="shared" si="4"/>
        <v/>
      </c>
    </row>
    <row r="98" spans="2:6" x14ac:dyDescent="0.55000000000000004">
      <c r="B98">
        <f t="shared" si="5"/>
        <v>2</v>
      </c>
      <c r="C98">
        <v>23237.388613225699</v>
      </c>
      <c r="E98">
        <f t="shared" si="3"/>
        <v>23237.388613225699</v>
      </c>
      <c r="F98" t="str">
        <f t="shared" si="4"/>
        <v/>
      </c>
    </row>
    <row r="99" spans="2:6" x14ac:dyDescent="0.55000000000000004">
      <c r="B99">
        <f t="shared" si="5"/>
        <v>3</v>
      </c>
      <c r="C99">
        <v>3713.4887327024499</v>
      </c>
      <c r="E99" t="str">
        <f t="shared" si="3"/>
        <v/>
      </c>
      <c r="F99">
        <f t="shared" si="4"/>
        <v>3713.4887327024499</v>
      </c>
    </row>
    <row r="100" spans="2:6" x14ac:dyDescent="0.55000000000000004">
      <c r="B100">
        <f t="shared" si="5"/>
        <v>1</v>
      </c>
      <c r="C100" t="s">
        <v>296</v>
      </c>
      <c r="E100" t="str">
        <f t="shared" si="3"/>
        <v/>
      </c>
      <c r="F100" t="str">
        <f t="shared" si="4"/>
        <v/>
      </c>
    </row>
    <row r="101" spans="2:6" x14ac:dyDescent="0.55000000000000004">
      <c r="B101">
        <f t="shared" si="5"/>
        <v>2</v>
      </c>
      <c r="C101">
        <v>21161.364483275702</v>
      </c>
      <c r="E101">
        <f t="shared" si="3"/>
        <v>21161.364483275702</v>
      </c>
      <c r="F101" t="str">
        <f t="shared" si="4"/>
        <v/>
      </c>
    </row>
    <row r="102" spans="2:6" x14ac:dyDescent="0.55000000000000004">
      <c r="B102">
        <f t="shared" si="5"/>
        <v>3</v>
      </c>
      <c r="C102">
        <v>3941.38004866131</v>
      </c>
      <c r="E102" t="str">
        <f t="shared" si="3"/>
        <v/>
      </c>
      <c r="F102">
        <f t="shared" si="4"/>
        <v>3941.38004866131</v>
      </c>
    </row>
    <row r="103" spans="2:6" x14ac:dyDescent="0.55000000000000004">
      <c r="B103">
        <f t="shared" si="5"/>
        <v>1</v>
      </c>
      <c r="C103" t="s">
        <v>297</v>
      </c>
      <c r="E103" t="str">
        <f t="shared" si="3"/>
        <v/>
      </c>
      <c r="F103" t="str">
        <f t="shared" si="4"/>
        <v/>
      </c>
    </row>
    <row r="104" spans="2:6" x14ac:dyDescent="0.55000000000000004">
      <c r="B104">
        <f t="shared" si="5"/>
        <v>2</v>
      </c>
      <c r="C104">
        <v>22770.650638535299</v>
      </c>
      <c r="E104">
        <f t="shared" si="3"/>
        <v>22770.650638535299</v>
      </c>
      <c r="F104" t="str">
        <f t="shared" si="4"/>
        <v/>
      </c>
    </row>
    <row r="105" spans="2:6" x14ac:dyDescent="0.55000000000000004">
      <c r="B105">
        <f t="shared" si="5"/>
        <v>3</v>
      </c>
      <c r="C105">
        <v>3738.8851186382399</v>
      </c>
      <c r="E105" t="str">
        <f t="shared" si="3"/>
        <v/>
      </c>
      <c r="F105">
        <f t="shared" si="4"/>
        <v>3738.8851186382399</v>
      </c>
    </row>
    <row r="106" spans="2:6" x14ac:dyDescent="0.55000000000000004">
      <c r="B106">
        <f t="shared" si="5"/>
        <v>1</v>
      </c>
      <c r="C106" t="s">
        <v>236</v>
      </c>
      <c r="E106" t="str">
        <f t="shared" si="3"/>
        <v/>
      </c>
      <c r="F106" t="str">
        <f t="shared" si="4"/>
        <v/>
      </c>
    </row>
    <row r="107" spans="2:6" x14ac:dyDescent="0.55000000000000004">
      <c r="B107">
        <f t="shared" si="5"/>
        <v>2</v>
      </c>
      <c r="C107">
        <v>23240.901521493201</v>
      </c>
      <c r="E107">
        <f t="shared" si="3"/>
        <v>23240.901521493201</v>
      </c>
      <c r="F107" t="str">
        <f t="shared" si="4"/>
        <v/>
      </c>
    </row>
    <row r="108" spans="2:6" x14ac:dyDescent="0.55000000000000004">
      <c r="B108">
        <f t="shared" si="5"/>
        <v>3</v>
      </c>
      <c r="C108">
        <v>3713.2805840664</v>
      </c>
      <c r="E108" t="str">
        <f t="shared" si="3"/>
        <v/>
      </c>
      <c r="F108">
        <f t="shared" si="4"/>
        <v>3713.2805840664</v>
      </c>
    </row>
    <row r="109" spans="2:6" x14ac:dyDescent="0.55000000000000004">
      <c r="B109">
        <f t="shared" si="5"/>
        <v>1</v>
      </c>
      <c r="C109" t="s">
        <v>298</v>
      </c>
      <c r="E109" t="str">
        <f t="shared" si="3"/>
        <v/>
      </c>
      <c r="F109" t="str">
        <f t="shared" si="4"/>
        <v/>
      </c>
    </row>
    <row r="110" spans="2:6" x14ac:dyDescent="0.55000000000000004">
      <c r="B110">
        <f t="shared" si="5"/>
        <v>2</v>
      </c>
      <c r="C110">
        <v>21238.1737476292</v>
      </c>
      <c r="E110">
        <f t="shared" si="3"/>
        <v>21238.1737476292</v>
      </c>
      <c r="F110" t="str">
        <f t="shared" si="4"/>
        <v/>
      </c>
    </row>
    <row r="111" spans="2:6" x14ac:dyDescent="0.55000000000000004">
      <c r="B111">
        <f t="shared" si="5"/>
        <v>3</v>
      </c>
      <c r="C111">
        <v>3926.3288783514799</v>
      </c>
      <c r="E111" t="str">
        <f t="shared" si="3"/>
        <v/>
      </c>
      <c r="F111">
        <f t="shared" si="4"/>
        <v>3926.3288783514799</v>
      </c>
    </row>
    <row r="112" spans="2:6" x14ac:dyDescent="0.55000000000000004">
      <c r="B112">
        <f t="shared" si="5"/>
        <v>1</v>
      </c>
      <c r="C112" t="s">
        <v>299</v>
      </c>
      <c r="E112" t="str">
        <f t="shared" si="3"/>
        <v/>
      </c>
      <c r="F112" t="str">
        <f t="shared" si="4"/>
        <v/>
      </c>
    </row>
    <row r="113" spans="2:6" x14ac:dyDescent="0.55000000000000004">
      <c r="B113">
        <f t="shared" si="5"/>
        <v>2</v>
      </c>
      <c r="C113">
        <v>22759.5079742093</v>
      </c>
      <c r="E113">
        <f t="shared" si="3"/>
        <v>22759.5079742093</v>
      </c>
      <c r="F113" t="str">
        <f t="shared" si="4"/>
        <v/>
      </c>
    </row>
    <row r="114" spans="2:6" x14ac:dyDescent="0.55000000000000004">
      <c r="B114">
        <f t="shared" si="5"/>
        <v>3</v>
      </c>
      <c r="C114">
        <v>3742.4413926587999</v>
      </c>
      <c r="E114" t="str">
        <f t="shared" si="3"/>
        <v/>
      </c>
      <c r="F114">
        <f t="shared" si="4"/>
        <v>3742.4413926587999</v>
      </c>
    </row>
    <row r="115" spans="2:6" x14ac:dyDescent="0.55000000000000004">
      <c r="B115">
        <f t="shared" si="5"/>
        <v>1</v>
      </c>
      <c r="C115" t="s">
        <v>300</v>
      </c>
      <c r="E115" t="str">
        <f t="shared" si="3"/>
        <v/>
      </c>
      <c r="F115" t="str">
        <f t="shared" si="4"/>
        <v/>
      </c>
    </row>
    <row r="116" spans="2:6" x14ac:dyDescent="0.55000000000000004">
      <c r="B116">
        <f t="shared" si="5"/>
        <v>2</v>
      </c>
      <c r="C116">
        <v>21168.292394081702</v>
      </c>
      <c r="E116">
        <f t="shared" si="3"/>
        <v>21168.292394081702</v>
      </c>
      <c r="F116" t="str">
        <f t="shared" si="4"/>
        <v/>
      </c>
    </row>
    <row r="117" spans="2:6" x14ac:dyDescent="0.55000000000000004">
      <c r="B117">
        <f t="shared" si="5"/>
        <v>3</v>
      </c>
      <c r="C117">
        <v>3928.3990569204898</v>
      </c>
      <c r="E117" t="str">
        <f t="shared" si="3"/>
        <v/>
      </c>
      <c r="F117">
        <f t="shared" si="4"/>
        <v>3928.3990569204898</v>
      </c>
    </row>
    <row r="118" spans="2:6" x14ac:dyDescent="0.55000000000000004">
      <c r="B118">
        <f t="shared" si="5"/>
        <v>1</v>
      </c>
      <c r="C118" t="s">
        <v>301</v>
      </c>
      <c r="E118" t="str">
        <f t="shared" si="3"/>
        <v/>
      </c>
      <c r="F118" t="str">
        <f t="shared" si="4"/>
        <v/>
      </c>
    </row>
    <row r="119" spans="2:6" x14ac:dyDescent="0.55000000000000004">
      <c r="B119">
        <f t="shared" si="5"/>
        <v>2</v>
      </c>
      <c r="C119">
        <v>22144.571421700199</v>
      </c>
      <c r="E119">
        <f t="shared" si="3"/>
        <v>22144.571421700199</v>
      </c>
      <c r="F119" t="str">
        <f t="shared" si="4"/>
        <v/>
      </c>
    </row>
    <row r="120" spans="2:6" x14ac:dyDescent="0.55000000000000004">
      <c r="B120">
        <f t="shared" si="5"/>
        <v>3</v>
      </c>
      <c r="C120">
        <v>3808.41502935996</v>
      </c>
      <c r="E120" t="str">
        <f t="shared" si="3"/>
        <v/>
      </c>
      <c r="F120">
        <f t="shared" si="4"/>
        <v>3808.41502935996</v>
      </c>
    </row>
    <row r="121" spans="2:6" x14ac:dyDescent="0.55000000000000004">
      <c r="B121">
        <f t="shared" si="5"/>
        <v>1</v>
      </c>
      <c r="C121" t="s">
        <v>302</v>
      </c>
      <c r="E121" t="str">
        <f t="shared" si="3"/>
        <v/>
      </c>
      <c r="F121" t="str">
        <f t="shared" si="4"/>
        <v/>
      </c>
    </row>
    <row r="122" spans="2:6" x14ac:dyDescent="0.55000000000000004">
      <c r="B122">
        <f t="shared" si="5"/>
        <v>2</v>
      </c>
      <c r="C122">
        <v>22751.8891372736</v>
      </c>
      <c r="E122">
        <f t="shared" si="3"/>
        <v>22751.8891372736</v>
      </c>
      <c r="F122" t="str">
        <f t="shared" si="4"/>
        <v/>
      </c>
    </row>
    <row r="123" spans="2:6" x14ac:dyDescent="0.55000000000000004">
      <c r="B123">
        <f t="shared" si="5"/>
        <v>3</v>
      </c>
      <c r="C123">
        <v>3743.3579062679701</v>
      </c>
      <c r="E123" t="str">
        <f t="shared" si="3"/>
        <v/>
      </c>
      <c r="F123">
        <f t="shared" si="4"/>
        <v>3743.3579062679701</v>
      </c>
    </row>
    <row r="124" spans="2:6" x14ac:dyDescent="0.55000000000000004">
      <c r="B124">
        <f>IF(B123&lt;3,B123+1,1)</f>
        <v>1</v>
      </c>
      <c r="C124" t="s">
        <v>303</v>
      </c>
      <c r="E124" t="str">
        <f t="shared" si="3"/>
        <v/>
      </c>
      <c r="F124" t="str">
        <f t="shared" si="4"/>
        <v/>
      </c>
    </row>
    <row r="125" spans="2:6" x14ac:dyDescent="0.55000000000000004">
      <c r="B125">
        <f t="shared" ref="B125:B165" si="6">IF(B124&lt;3,B124+1,1)</f>
        <v>2</v>
      </c>
      <c r="C125">
        <v>21160.653097734899</v>
      </c>
      <c r="E125">
        <f t="shared" si="3"/>
        <v>21160.653097734899</v>
      </c>
      <c r="F125" t="str">
        <f t="shared" si="4"/>
        <v/>
      </c>
    </row>
    <row r="126" spans="2:6" x14ac:dyDescent="0.55000000000000004">
      <c r="B126">
        <f t="shared" si="6"/>
        <v>3</v>
      </c>
      <c r="C126">
        <v>3943.0727676572201</v>
      </c>
      <c r="E126" t="str">
        <f t="shared" si="3"/>
        <v/>
      </c>
      <c r="F126">
        <f t="shared" si="4"/>
        <v>3943.0727676572201</v>
      </c>
    </row>
    <row r="127" spans="2:6" x14ac:dyDescent="0.55000000000000004">
      <c r="B127">
        <f t="shared" si="6"/>
        <v>1</v>
      </c>
      <c r="C127" t="s">
        <v>304</v>
      </c>
      <c r="E127" t="str">
        <f t="shared" si="3"/>
        <v/>
      </c>
      <c r="F127" t="str">
        <f t="shared" si="4"/>
        <v/>
      </c>
    </row>
    <row r="128" spans="2:6" x14ac:dyDescent="0.55000000000000004">
      <c r="B128">
        <f t="shared" si="6"/>
        <v>2</v>
      </c>
      <c r="C128">
        <v>21165.0440665756</v>
      </c>
      <c r="E128">
        <f t="shared" si="3"/>
        <v>21165.0440665756</v>
      </c>
      <c r="F128" t="str">
        <f t="shared" si="4"/>
        <v/>
      </c>
    </row>
    <row r="129" spans="2:6" x14ac:dyDescent="0.55000000000000004">
      <c r="B129">
        <f t="shared" si="6"/>
        <v>3</v>
      </c>
      <c r="C129">
        <v>3931.6227844141799</v>
      </c>
      <c r="E129" t="str">
        <f t="shared" si="3"/>
        <v/>
      </c>
      <c r="F129">
        <f t="shared" si="4"/>
        <v>3931.6227844141799</v>
      </c>
    </row>
    <row r="130" spans="2:6" x14ac:dyDescent="0.55000000000000004">
      <c r="B130">
        <f t="shared" si="6"/>
        <v>1</v>
      </c>
      <c r="C130" t="s">
        <v>305</v>
      </c>
      <c r="E130" t="str">
        <f t="shared" si="3"/>
        <v/>
      </c>
      <c r="F130" t="str">
        <f t="shared" si="4"/>
        <v/>
      </c>
    </row>
    <row r="131" spans="2:6" x14ac:dyDescent="0.55000000000000004">
      <c r="B131">
        <f t="shared" si="6"/>
        <v>2</v>
      </c>
      <c r="C131">
        <v>21164.1541834278</v>
      </c>
      <c r="E131">
        <f t="shared" si="3"/>
        <v>21164.1541834278</v>
      </c>
      <c r="F131" t="str">
        <f t="shared" si="4"/>
        <v/>
      </c>
    </row>
    <row r="132" spans="2:6" x14ac:dyDescent="0.55000000000000004">
      <c r="B132">
        <f t="shared" si="6"/>
        <v>3</v>
      </c>
      <c r="C132">
        <v>3933.0703526162301</v>
      </c>
      <c r="E132" t="str">
        <f t="shared" si="3"/>
        <v/>
      </c>
      <c r="F132">
        <f t="shared" si="4"/>
        <v>3933.0703526162301</v>
      </c>
    </row>
    <row r="133" spans="2:6" x14ac:dyDescent="0.55000000000000004">
      <c r="B133">
        <f t="shared" si="6"/>
        <v>1</v>
      </c>
      <c r="C133" t="s">
        <v>306</v>
      </c>
      <c r="E133" t="str">
        <f t="shared" ref="E133:E165" si="7">IF(B133=2,C133,"")</f>
        <v/>
      </c>
      <c r="F133" t="str">
        <f t="shared" ref="F133:F165" si="8">IF(B133=3,C133,"")</f>
        <v/>
      </c>
    </row>
    <row r="134" spans="2:6" x14ac:dyDescent="0.55000000000000004">
      <c r="B134">
        <f t="shared" si="6"/>
        <v>2</v>
      </c>
      <c r="C134">
        <v>21165.274301540099</v>
      </c>
      <c r="E134">
        <f t="shared" si="7"/>
        <v>21165.274301540099</v>
      </c>
      <c r="F134" t="str">
        <f t="shared" si="8"/>
        <v/>
      </c>
    </row>
    <row r="135" spans="2:6" x14ac:dyDescent="0.55000000000000004">
      <c r="B135">
        <f t="shared" si="6"/>
        <v>3</v>
      </c>
      <c r="C135">
        <v>3929.3430829181998</v>
      </c>
      <c r="E135" t="str">
        <f t="shared" si="7"/>
        <v/>
      </c>
      <c r="F135">
        <f t="shared" si="8"/>
        <v>3929.3430829181998</v>
      </c>
    </row>
    <row r="136" spans="2:6" x14ac:dyDescent="0.55000000000000004">
      <c r="B136">
        <f t="shared" si="6"/>
        <v>1</v>
      </c>
      <c r="C136" t="s">
        <v>307</v>
      </c>
      <c r="E136" t="str">
        <f t="shared" si="7"/>
        <v/>
      </c>
      <c r="F136" t="str">
        <f t="shared" si="8"/>
        <v/>
      </c>
    </row>
    <row r="137" spans="2:6" x14ac:dyDescent="0.55000000000000004">
      <c r="B137">
        <f t="shared" si="6"/>
        <v>2</v>
      </c>
      <c r="C137">
        <v>23764.472280848498</v>
      </c>
      <c r="E137">
        <f t="shared" si="7"/>
        <v>23764.472280848498</v>
      </c>
      <c r="F137" t="str">
        <f t="shared" si="8"/>
        <v/>
      </c>
    </row>
    <row r="138" spans="2:6" x14ac:dyDescent="0.55000000000000004">
      <c r="B138">
        <f t="shared" si="6"/>
        <v>3</v>
      </c>
      <c r="C138">
        <v>3675.9667026952102</v>
      </c>
      <c r="E138" t="str">
        <f t="shared" si="7"/>
        <v/>
      </c>
      <c r="F138">
        <f t="shared" si="8"/>
        <v>3675.9667026952102</v>
      </c>
    </row>
    <row r="139" spans="2:6" x14ac:dyDescent="0.55000000000000004">
      <c r="B139">
        <f t="shared" si="6"/>
        <v>1</v>
      </c>
      <c r="C139" t="s">
        <v>308</v>
      </c>
      <c r="E139" t="str">
        <f t="shared" si="7"/>
        <v/>
      </c>
      <c r="F139" t="str">
        <f t="shared" si="8"/>
        <v/>
      </c>
    </row>
    <row r="140" spans="2:6" x14ac:dyDescent="0.55000000000000004">
      <c r="B140">
        <f t="shared" si="6"/>
        <v>2</v>
      </c>
      <c r="C140">
        <v>23234.8723179671</v>
      </c>
      <c r="E140">
        <f t="shared" si="7"/>
        <v>23234.8723179671</v>
      </c>
      <c r="F140" t="str">
        <f t="shared" si="8"/>
        <v/>
      </c>
    </row>
    <row r="141" spans="2:6" x14ac:dyDescent="0.55000000000000004">
      <c r="B141">
        <f t="shared" si="6"/>
        <v>3</v>
      </c>
      <c r="C141">
        <v>3721.8695454747799</v>
      </c>
      <c r="E141" t="str">
        <f t="shared" si="7"/>
        <v/>
      </c>
      <c r="F141">
        <f t="shared" si="8"/>
        <v>3721.8695454747799</v>
      </c>
    </row>
    <row r="142" spans="2:6" x14ac:dyDescent="0.55000000000000004">
      <c r="B142">
        <f t="shared" si="6"/>
        <v>1</v>
      </c>
      <c r="C142" t="s">
        <v>309</v>
      </c>
      <c r="E142" t="str">
        <f t="shared" si="7"/>
        <v/>
      </c>
      <c r="F142" t="str">
        <f t="shared" si="8"/>
        <v/>
      </c>
    </row>
    <row r="143" spans="2:6" x14ac:dyDescent="0.55000000000000004">
      <c r="B143">
        <f t="shared" si="6"/>
        <v>2</v>
      </c>
      <c r="C143">
        <v>22138.210480654401</v>
      </c>
      <c r="E143">
        <f t="shared" si="7"/>
        <v>22138.210480654401</v>
      </c>
      <c r="F143" t="str">
        <f t="shared" si="8"/>
        <v/>
      </c>
    </row>
    <row r="144" spans="2:6" x14ac:dyDescent="0.55000000000000004">
      <c r="B144">
        <f t="shared" si="6"/>
        <v>3</v>
      </c>
      <c r="C144">
        <v>3808.8765956238799</v>
      </c>
      <c r="E144" t="str">
        <f t="shared" si="7"/>
        <v/>
      </c>
      <c r="F144">
        <f t="shared" si="8"/>
        <v>3808.8765956238799</v>
      </c>
    </row>
    <row r="145" spans="2:6" x14ac:dyDescent="0.55000000000000004">
      <c r="B145">
        <f t="shared" si="6"/>
        <v>1</v>
      </c>
      <c r="C145" t="s">
        <v>310</v>
      </c>
      <c r="E145" t="str">
        <f t="shared" si="7"/>
        <v/>
      </c>
      <c r="F145" t="str">
        <f t="shared" si="8"/>
        <v/>
      </c>
    </row>
    <row r="146" spans="2:6" x14ac:dyDescent="0.55000000000000004">
      <c r="B146">
        <f t="shared" si="6"/>
        <v>2</v>
      </c>
      <c r="C146">
        <v>23238.0113316118</v>
      </c>
      <c r="E146">
        <f t="shared" si="7"/>
        <v>23238.0113316118</v>
      </c>
      <c r="F146" t="str">
        <f t="shared" si="8"/>
        <v/>
      </c>
    </row>
    <row r="147" spans="2:6" x14ac:dyDescent="0.55000000000000004">
      <c r="B147">
        <f t="shared" si="6"/>
        <v>3</v>
      </c>
      <c r="C147">
        <v>3713.320667684</v>
      </c>
      <c r="E147" t="str">
        <f t="shared" si="7"/>
        <v/>
      </c>
      <c r="F147">
        <f t="shared" si="8"/>
        <v>3713.320667684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2BDC-E0FE-462F-8F9F-250DE390ABA0}">
  <dimension ref="A1:AV51"/>
  <sheetViews>
    <sheetView tabSelected="1" workbookViewId="0">
      <selection activeCell="P11" sqref="P11"/>
    </sheetView>
  </sheetViews>
  <sheetFormatPr defaultRowHeight="14.4" x14ac:dyDescent="0.55000000000000004"/>
  <cols>
    <col min="10" max="10" width="10.68359375" customWidth="1"/>
    <col min="13" max="13" width="10.1015625" customWidth="1"/>
    <col min="14" max="14" width="11" customWidth="1"/>
  </cols>
  <sheetData>
    <row r="1" spans="1:48" x14ac:dyDescent="0.55000000000000004">
      <c r="A1" t="s">
        <v>311</v>
      </c>
      <c r="B1">
        <v>20633.7468344632</v>
      </c>
      <c r="C1">
        <v>3517.36351408873</v>
      </c>
      <c r="D1" t="s">
        <v>312</v>
      </c>
      <c r="E1">
        <v>26590.092988254099</v>
      </c>
      <c r="F1">
        <v>3381.5778856113602</v>
      </c>
      <c r="G1" t="s">
        <v>313</v>
      </c>
      <c r="H1">
        <v>25029.686798630999</v>
      </c>
      <c r="I1">
        <v>3429.0090995604201</v>
      </c>
      <c r="J1" t="s">
        <v>314</v>
      </c>
      <c r="K1">
        <v>20734.0698717548</v>
      </c>
      <c r="L1">
        <v>3503.6412868192301</v>
      </c>
      <c r="M1" t="s">
        <v>315</v>
      </c>
      <c r="N1">
        <v>26066.710112636101</v>
      </c>
      <c r="O1">
        <v>3393.95465423414</v>
      </c>
      <c r="P1" t="s">
        <v>316</v>
      </c>
      <c r="Q1">
        <v>25550.9454271063</v>
      </c>
      <c r="R1">
        <v>3400.7911949332201</v>
      </c>
      <c r="S1" t="s">
        <v>317</v>
      </c>
      <c r="T1">
        <v>26073.4876018088</v>
      </c>
      <c r="U1">
        <v>3384.07622511818</v>
      </c>
      <c r="V1" t="s">
        <v>318</v>
      </c>
      <c r="W1">
        <v>25544.322675823099</v>
      </c>
      <c r="X1">
        <v>3421.7926378218399</v>
      </c>
      <c r="Y1" t="s">
        <v>319</v>
      </c>
      <c r="Z1">
        <v>25542.500865806102</v>
      </c>
      <c r="AA1">
        <v>3427.3281972701502</v>
      </c>
      <c r="AB1" t="s">
        <v>320</v>
      </c>
      <c r="AC1">
        <v>25544.7677462883</v>
      </c>
      <c r="AD1">
        <v>3407.5473899449098</v>
      </c>
      <c r="AE1" t="s">
        <v>321</v>
      </c>
      <c r="AF1">
        <v>26563.363307696702</v>
      </c>
      <c r="AG1">
        <v>3383.1119959268099</v>
      </c>
      <c r="AH1" t="s">
        <v>322</v>
      </c>
      <c r="AI1">
        <v>20731.943424584199</v>
      </c>
      <c r="AJ1">
        <v>3513.9560623208299</v>
      </c>
      <c r="AK1" t="s">
        <v>323</v>
      </c>
      <c r="AL1">
        <v>25547.2487631564</v>
      </c>
      <c r="AM1">
        <v>3406.2253391745198</v>
      </c>
      <c r="AN1" t="s">
        <v>324</v>
      </c>
      <c r="AO1">
        <v>20731.604528147302</v>
      </c>
      <c r="AP1">
        <v>3514.90876783044</v>
      </c>
      <c r="AQ1" t="s">
        <v>325</v>
      </c>
      <c r="AR1">
        <v>26585.412921034302</v>
      </c>
      <c r="AS1">
        <v>3382.9025297243502</v>
      </c>
      <c r="AT1" t="s">
        <v>205</v>
      </c>
      <c r="AU1">
        <v>25545.9854530183</v>
      </c>
      <c r="AV1">
        <v>3407.3276787792602</v>
      </c>
    </row>
    <row r="3" spans="1:48" x14ac:dyDescent="0.55000000000000004">
      <c r="E3" t="s">
        <v>0</v>
      </c>
      <c r="F3" t="s">
        <v>1</v>
      </c>
      <c r="H3" t="s">
        <v>3</v>
      </c>
      <c r="I3" t="s">
        <v>4</v>
      </c>
      <c r="J3" t="s">
        <v>5</v>
      </c>
      <c r="K3" t="s">
        <v>6</v>
      </c>
      <c r="L3" t="s">
        <v>34</v>
      </c>
    </row>
    <row r="4" spans="1:48" x14ac:dyDescent="0.55000000000000004">
      <c r="B4">
        <f>1</f>
        <v>1</v>
      </c>
      <c r="C4" t="s">
        <v>311</v>
      </c>
      <c r="E4" t="str">
        <f>IF(B4=2,C4,"")</f>
        <v/>
      </c>
      <c r="F4" t="str">
        <f>IF(B4=3,C4,"")</f>
        <v/>
      </c>
      <c r="H4">
        <f>MIN(E4:E189)</f>
        <v>20633.7468344632</v>
      </c>
      <c r="I4">
        <f>MAX(E4:E189)</f>
        <v>26590.092988254099</v>
      </c>
      <c r="J4">
        <f>MIN(F4:F189)</f>
        <v>3381.5778856113602</v>
      </c>
      <c r="K4">
        <f>MAX(F4:F189)</f>
        <v>3517.36351408873</v>
      </c>
      <c r="L4">
        <f>SUMIF(B4:B189,1)</f>
        <v>16</v>
      </c>
    </row>
    <row r="5" spans="1:48" x14ac:dyDescent="0.55000000000000004">
      <c r="B5">
        <f>IF(B4&lt;3,B4+1,1)</f>
        <v>2</v>
      </c>
      <c r="C5">
        <v>20633.7468344632</v>
      </c>
      <c r="E5">
        <f t="shared" ref="E5:E68" si="0">IF(B5=2,C5,"")</f>
        <v>20633.7468344632</v>
      </c>
      <c r="F5" t="str">
        <f t="shared" ref="F5:F68" si="1">IF(B5=3,C5,"")</f>
        <v/>
      </c>
    </row>
    <row r="6" spans="1:48" x14ac:dyDescent="0.55000000000000004">
      <c r="B6">
        <f t="shared" ref="B6:B69" si="2">IF(B5&lt;3,B5+1,1)</f>
        <v>3</v>
      </c>
      <c r="C6">
        <v>3517.36351408873</v>
      </c>
      <c r="E6" t="str">
        <f t="shared" si="0"/>
        <v/>
      </c>
      <c r="F6">
        <f t="shared" si="1"/>
        <v>3517.36351408873</v>
      </c>
    </row>
    <row r="7" spans="1:48" x14ac:dyDescent="0.55000000000000004">
      <c r="B7">
        <f t="shared" si="2"/>
        <v>1</v>
      </c>
      <c r="C7" t="s">
        <v>312</v>
      </c>
      <c r="E7" t="str">
        <f t="shared" si="0"/>
        <v/>
      </c>
      <c r="F7" t="str">
        <f t="shared" si="1"/>
        <v/>
      </c>
    </row>
    <row r="8" spans="1:48" x14ac:dyDescent="0.55000000000000004">
      <c r="B8">
        <f t="shared" si="2"/>
        <v>2</v>
      </c>
      <c r="C8">
        <v>26590.092988254099</v>
      </c>
      <c r="E8">
        <f t="shared" si="0"/>
        <v>26590.092988254099</v>
      </c>
      <c r="F8" t="str">
        <f t="shared" si="1"/>
        <v/>
      </c>
    </row>
    <row r="9" spans="1:48" x14ac:dyDescent="0.55000000000000004">
      <c r="B9">
        <f t="shared" si="2"/>
        <v>3</v>
      </c>
      <c r="C9">
        <v>3381.5778856113602</v>
      </c>
      <c r="E9" t="str">
        <f t="shared" si="0"/>
        <v/>
      </c>
      <c r="F9">
        <f t="shared" si="1"/>
        <v>3381.5778856113602</v>
      </c>
    </row>
    <row r="10" spans="1:48" x14ac:dyDescent="0.55000000000000004">
      <c r="B10">
        <f t="shared" si="2"/>
        <v>1</v>
      </c>
      <c r="C10" t="s">
        <v>313</v>
      </c>
      <c r="E10" t="str">
        <f t="shared" si="0"/>
        <v/>
      </c>
      <c r="F10" t="str">
        <f t="shared" si="1"/>
        <v/>
      </c>
    </row>
    <row r="11" spans="1:48" x14ac:dyDescent="0.55000000000000004">
      <c r="B11">
        <f t="shared" si="2"/>
        <v>2</v>
      </c>
      <c r="C11">
        <v>25029.686798630999</v>
      </c>
      <c r="E11">
        <f t="shared" si="0"/>
        <v>25029.686798630999</v>
      </c>
      <c r="F11" t="str">
        <f t="shared" si="1"/>
        <v/>
      </c>
    </row>
    <row r="12" spans="1:48" x14ac:dyDescent="0.55000000000000004">
      <c r="B12">
        <f t="shared" si="2"/>
        <v>3</v>
      </c>
      <c r="C12">
        <v>3429.0090995604201</v>
      </c>
      <c r="E12" t="str">
        <f t="shared" si="0"/>
        <v/>
      </c>
      <c r="F12">
        <f t="shared" si="1"/>
        <v>3429.0090995604201</v>
      </c>
    </row>
    <row r="13" spans="1:48" x14ac:dyDescent="0.55000000000000004">
      <c r="B13">
        <f t="shared" si="2"/>
        <v>1</v>
      </c>
      <c r="C13" t="s">
        <v>314</v>
      </c>
      <c r="E13" t="str">
        <f t="shared" si="0"/>
        <v/>
      </c>
      <c r="F13" t="str">
        <f t="shared" si="1"/>
        <v/>
      </c>
    </row>
    <row r="14" spans="1:48" x14ac:dyDescent="0.55000000000000004">
      <c r="B14">
        <f t="shared" si="2"/>
        <v>2</v>
      </c>
      <c r="C14">
        <v>20734.0698717548</v>
      </c>
      <c r="E14">
        <f t="shared" si="0"/>
        <v>20734.0698717548</v>
      </c>
      <c r="F14" t="str">
        <f t="shared" si="1"/>
        <v/>
      </c>
    </row>
    <row r="15" spans="1:48" x14ac:dyDescent="0.55000000000000004">
      <c r="B15">
        <f t="shared" si="2"/>
        <v>3</v>
      </c>
      <c r="C15">
        <v>3503.6412868192301</v>
      </c>
      <c r="E15" t="str">
        <f t="shared" si="0"/>
        <v/>
      </c>
      <c r="F15">
        <f t="shared" si="1"/>
        <v>3503.6412868192301</v>
      </c>
    </row>
    <row r="16" spans="1:48" x14ac:dyDescent="0.55000000000000004">
      <c r="B16">
        <f t="shared" si="2"/>
        <v>1</v>
      </c>
      <c r="C16" t="s">
        <v>315</v>
      </c>
      <c r="E16" t="str">
        <f t="shared" si="0"/>
        <v/>
      </c>
      <c r="F16" t="str">
        <f t="shared" si="1"/>
        <v/>
      </c>
    </row>
    <row r="17" spans="2:6" x14ac:dyDescent="0.55000000000000004">
      <c r="B17">
        <f t="shared" si="2"/>
        <v>2</v>
      </c>
      <c r="C17">
        <v>26066.710112636101</v>
      </c>
      <c r="E17">
        <f t="shared" si="0"/>
        <v>26066.710112636101</v>
      </c>
      <c r="F17" t="str">
        <f t="shared" si="1"/>
        <v/>
      </c>
    </row>
    <row r="18" spans="2:6" x14ac:dyDescent="0.55000000000000004">
      <c r="B18">
        <f t="shared" si="2"/>
        <v>3</v>
      </c>
      <c r="C18">
        <v>3393.95465423414</v>
      </c>
      <c r="E18" t="str">
        <f t="shared" si="0"/>
        <v/>
      </c>
      <c r="F18">
        <f t="shared" si="1"/>
        <v>3393.95465423414</v>
      </c>
    </row>
    <row r="19" spans="2:6" x14ac:dyDescent="0.55000000000000004">
      <c r="B19">
        <f t="shared" si="2"/>
        <v>1</v>
      </c>
      <c r="C19" t="s">
        <v>316</v>
      </c>
      <c r="E19" t="str">
        <f t="shared" si="0"/>
        <v/>
      </c>
      <c r="F19" t="str">
        <f t="shared" si="1"/>
        <v/>
      </c>
    </row>
    <row r="20" spans="2:6" x14ac:dyDescent="0.55000000000000004">
      <c r="B20">
        <f t="shared" si="2"/>
        <v>2</v>
      </c>
      <c r="C20">
        <v>25550.9454271063</v>
      </c>
      <c r="E20">
        <f t="shared" si="0"/>
        <v>25550.9454271063</v>
      </c>
      <c r="F20" t="str">
        <f t="shared" si="1"/>
        <v/>
      </c>
    </row>
    <row r="21" spans="2:6" x14ac:dyDescent="0.55000000000000004">
      <c r="B21">
        <f t="shared" si="2"/>
        <v>3</v>
      </c>
      <c r="C21">
        <v>3400.7911949332201</v>
      </c>
      <c r="E21" t="str">
        <f t="shared" si="0"/>
        <v/>
      </c>
      <c r="F21">
        <f t="shared" si="1"/>
        <v>3400.7911949332201</v>
      </c>
    </row>
    <row r="22" spans="2:6" x14ac:dyDescent="0.55000000000000004">
      <c r="B22">
        <f t="shared" si="2"/>
        <v>1</v>
      </c>
      <c r="C22" t="s">
        <v>317</v>
      </c>
      <c r="E22" t="str">
        <f t="shared" si="0"/>
        <v/>
      </c>
      <c r="F22" t="str">
        <f t="shared" si="1"/>
        <v/>
      </c>
    </row>
    <row r="23" spans="2:6" x14ac:dyDescent="0.55000000000000004">
      <c r="B23">
        <f t="shared" si="2"/>
        <v>2</v>
      </c>
      <c r="C23">
        <v>26073.4876018088</v>
      </c>
      <c r="E23">
        <f t="shared" si="0"/>
        <v>26073.4876018088</v>
      </c>
      <c r="F23" t="str">
        <f t="shared" si="1"/>
        <v/>
      </c>
    </row>
    <row r="24" spans="2:6" x14ac:dyDescent="0.55000000000000004">
      <c r="B24">
        <f t="shared" si="2"/>
        <v>3</v>
      </c>
      <c r="C24">
        <v>3384.07622511818</v>
      </c>
      <c r="E24" t="str">
        <f t="shared" si="0"/>
        <v/>
      </c>
      <c r="F24">
        <f t="shared" si="1"/>
        <v>3384.07622511818</v>
      </c>
    </row>
    <row r="25" spans="2:6" x14ac:dyDescent="0.55000000000000004">
      <c r="B25">
        <f t="shared" si="2"/>
        <v>1</v>
      </c>
      <c r="C25" t="s">
        <v>318</v>
      </c>
      <c r="E25" t="str">
        <f t="shared" si="0"/>
        <v/>
      </c>
      <c r="F25" t="str">
        <f t="shared" si="1"/>
        <v/>
      </c>
    </row>
    <row r="26" spans="2:6" x14ac:dyDescent="0.55000000000000004">
      <c r="B26">
        <f t="shared" si="2"/>
        <v>2</v>
      </c>
      <c r="C26">
        <v>25544.322675823099</v>
      </c>
      <c r="E26">
        <f t="shared" si="0"/>
        <v>25544.322675823099</v>
      </c>
      <c r="F26" t="str">
        <f t="shared" si="1"/>
        <v/>
      </c>
    </row>
    <row r="27" spans="2:6" x14ac:dyDescent="0.55000000000000004">
      <c r="B27">
        <f t="shared" si="2"/>
        <v>3</v>
      </c>
      <c r="C27">
        <v>3421.7926378218399</v>
      </c>
      <c r="E27" t="str">
        <f t="shared" si="0"/>
        <v/>
      </c>
      <c r="F27">
        <f t="shared" si="1"/>
        <v>3421.7926378218399</v>
      </c>
    </row>
    <row r="28" spans="2:6" x14ac:dyDescent="0.55000000000000004">
      <c r="B28">
        <f t="shared" si="2"/>
        <v>1</v>
      </c>
      <c r="C28" t="s">
        <v>319</v>
      </c>
      <c r="E28" t="str">
        <f t="shared" si="0"/>
        <v/>
      </c>
      <c r="F28" t="str">
        <f t="shared" si="1"/>
        <v/>
      </c>
    </row>
    <row r="29" spans="2:6" x14ac:dyDescent="0.55000000000000004">
      <c r="B29">
        <f t="shared" si="2"/>
        <v>2</v>
      </c>
      <c r="C29">
        <v>25542.500865806102</v>
      </c>
      <c r="E29">
        <f t="shared" si="0"/>
        <v>25542.500865806102</v>
      </c>
      <c r="F29" t="str">
        <f t="shared" si="1"/>
        <v/>
      </c>
    </row>
    <row r="30" spans="2:6" x14ac:dyDescent="0.55000000000000004">
      <c r="B30">
        <f t="shared" si="2"/>
        <v>3</v>
      </c>
      <c r="C30">
        <v>3427.3281972701502</v>
      </c>
      <c r="E30" t="str">
        <f t="shared" si="0"/>
        <v/>
      </c>
      <c r="F30">
        <f t="shared" si="1"/>
        <v>3427.3281972701502</v>
      </c>
    </row>
    <row r="31" spans="2:6" x14ac:dyDescent="0.55000000000000004">
      <c r="B31">
        <f t="shared" si="2"/>
        <v>1</v>
      </c>
      <c r="C31" t="s">
        <v>320</v>
      </c>
      <c r="E31" t="str">
        <f t="shared" si="0"/>
        <v/>
      </c>
      <c r="F31" t="str">
        <f t="shared" si="1"/>
        <v/>
      </c>
    </row>
    <row r="32" spans="2:6" x14ac:dyDescent="0.55000000000000004">
      <c r="B32">
        <f t="shared" si="2"/>
        <v>2</v>
      </c>
      <c r="C32">
        <v>25544.7677462883</v>
      </c>
      <c r="E32">
        <f t="shared" si="0"/>
        <v>25544.7677462883</v>
      </c>
      <c r="F32" t="str">
        <f t="shared" si="1"/>
        <v/>
      </c>
    </row>
    <row r="33" spans="2:6" x14ac:dyDescent="0.55000000000000004">
      <c r="B33">
        <f t="shared" si="2"/>
        <v>3</v>
      </c>
      <c r="C33">
        <v>3407.5473899449098</v>
      </c>
      <c r="E33" t="str">
        <f t="shared" si="0"/>
        <v/>
      </c>
      <c r="F33">
        <f t="shared" si="1"/>
        <v>3407.5473899449098</v>
      </c>
    </row>
    <row r="34" spans="2:6" x14ac:dyDescent="0.55000000000000004">
      <c r="B34">
        <f t="shared" si="2"/>
        <v>1</v>
      </c>
      <c r="C34" t="s">
        <v>321</v>
      </c>
      <c r="E34" t="str">
        <f t="shared" si="0"/>
        <v/>
      </c>
      <c r="F34" t="str">
        <f t="shared" si="1"/>
        <v/>
      </c>
    </row>
    <row r="35" spans="2:6" x14ac:dyDescent="0.55000000000000004">
      <c r="B35">
        <f t="shared" si="2"/>
        <v>2</v>
      </c>
      <c r="C35">
        <v>26563.363307696702</v>
      </c>
      <c r="E35">
        <f t="shared" si="0"/>
        <v>26563.363307696702</v>
      </c>
      <c r="F35" t="str">
        <f t="shared" si="1"/>
        <v/>
      </c>
    </row>
    <row r="36" spans="2:6" x14ac:dyDescent="0.55000000000000004">
      <c r="B36">
        <f t="shared" si="2"/>
        <v>3</v>
      </c>
      <c r="C36">
        <v>3383.1119959268099</v>
      </c>
      <c r="E36" t="str">
        <f t="shared" si="0"/>
        <v/>
      </c>
      <c r="F36">
        <f t="shared" si="1"/>
        <v>3383.1119959268099</v>
      </c>
    </row>
    <row r="37" spans="2:6" x14ac:dyDescent="0.55000000000000004">
      <c r="B37">
        <f t="shared" si="2"/>
        <v>1</v>
      </c>
      <c r="C37" t="s">
        <v>322</v>
      </c>
      <c r="E37" t="str">
        <f t="shared" si="0"/>
        <v/>
      </c>
      <c r="F37" t="str">
        <f t="shared" si="1"/>
        <v/>
      </c>
    </row>
    <row r="38" spans="2:6" x14ac:dyDescent="0.55000000000000004">
      <c r="B38">
        <f t="shared" si="2"/>
        <v>2</v>
      </c>
      <c r="C38">
        <v>20731.943424584199</v>
      </c>
      <c r="E38">
        <f t="shared" si="0"/>
        <v>20731.943424584199</v>
      </c>
      <c r="F38" t="str">
        <f t="shared" si="1"/>
        <v/>
      </c>
    </row>
    <row r="39" spans="2:6" x14ac:dyDescent="0.55000000000000004">
      <c r="B39">
        <f t="shared" si="2"/>
        <v>3</v>
      </c>
      <c r="C39">
        <v>3513.9560623208299</v>
      </c>
      <c r="E39" t="str">
        <f t="shared" si="0"/>
        <v/>
      </c>
      <c r="F39">
        <f t="shared" si="1"/>
        <v>3513.9560623208299</v>
      </c>
    </row>
    <row r="40" spans="2:6" x14ac:dyDescent="0.55000000000000004">
      <c r="B40">
        <f t="shared" si="2"/>
        <v>1</v>
      </c>
      <c r="C40" t="s">
        <v>323</v>
      </c>
      <c r="E40" t="str">
        <f t="shared" si="0"/>
        <v/>
      </c>
      <c r="F40" t="str">
        <f t="shared" si="1"/>
        <v/>
      </c>
    </row>
    <row r="41" spans="2:6" x14ac:dyDescent="0.55000000000000004">
      <c r="B41">
        <f t="shared" si="2"/>
        <v>2</v>
      </c>
      <c r="C41">
        <v>25547.2487631564</v>
      </c>
      <c r="E41">
        <f t="shared" si="0"/>
        <v>25547.2487631564</v>
      </c>
      <c r="F41" t="str">
        <f t="shared" si="1"/>
        <v/>
      </c>
    </row>
    <row r="42" spans="2:6" x14ac:dyDescent="0.55000000000000004">
      <c r="B42">
        <f t="shared" si="2"/>
        <v>3</v>
      </c>
      <c r="C42">
        <v>3406.2253391745198</v>
      </c>
      <c r="E42" t="str">
        <f t="shared" si="0"/>
        <v/>
      </c>
      <c r="F42">
        <f t="shared" si="1"/>
        <v>3406.2253391745198</v>
      </c>
    </row>
    <row r="43" spans="2:6" x14ac:dyDescent="0.55000000000000004">
      <c r="B43">
        <f t="shared" si="2"/>
        <v>1</v>
      </c>
      <c r="C43" t="s">
        <v>324</v>
      </c>
      <c r="E43" t="str">
        <f t="shared" si="0"/>
        <v/>
      </c>
      <c r="F43" t="str">
        <f t="shared" si="1"/>
        <v/>
      </c>
    </row>
    <row r="44" spans="2:6" x14ac:dyDescent="0.55000000000000004">
      <c r="B44">
        <f t="shared" si="2"/>
        <v>2</v>
      </c>
      <c r="C44">
        <v>20731.604528147302</v>
      </c>
      <c r="E44">
        <f t="shared" si="0"/>
        <v>20731.604528147302</v>
      </c>
      <c r="F44" t="str">
        <f t="shared" si="1"/>
        <v/>
      </c>
    </row>
    <row r="45" spans="2:6" x14ac:dyDescent="0.55000000000000004">
      <c r="B45">
        <f t="shared" si="2"/>
        <v>3</v>
      </c>
      <c r="C45">
        <v>3514.90876783044</v>
      </c>
      <c r="E45" t="str">
        <f t="shared" si="0"/>
        <v/>
      </c>
      <c r="F45">
        <f t="shared" si="1"/>
        <v>3514.90876783044</v>
      </c>
    </row>
    <row r="46" spans="2:6" x14ac:dyDescent="0.55000000000000004">
      <c r="B46">
        <f t="shared" si="2"/>
        <v>1</v>
      </c>
      <c r="C46" t="s">
        <v>325</v>
      </c>
      <c r="E46" t="str">
        <f t="shared" si="0"/>
        <v/>
      </c>
      <c r="F46" t="str">
        <f t="shared" si="1"/>
        <v/>
      </c>
    </row>
    <row r="47" spans="2:6" x14ac:dyDescent="0.55000000000000004">
      <c r="B47">
        <f t="shared" si="2"/>
        <v>2</v>
      </c>
      <c r="C47">
        <v>26585.412921034302</v>
      </c>
      <c r="E47">
        <f t="shared" si="0"/>
        <v>26585.412921034302</v>
      </c>
      <c r="F47" t="str">
        <f t="shared" si="1"/>
        <v/>
      </c>
    </row>
    <row r="48" spans="2:6" x14ac:dyDescent="0.55000000000000004">
      <c r="B48">
        <f t="shared" si="2"/>
        <v>3</v>
      </c>
      <c r="C48">
        <v>3382.9025297243502</v>
      </c>
      <c r="E48" t="str">
        <f t="shared" si="0"/>
        <v/>
      </c>
      <c r="F48">
        <f t="shared" si="1"/>
        <v>3382.9025297243502</v>
      </c>
    </row>
    <row r="49" spans="2:6" x14ac:dyDescent="0.55000000000000004">
      <c r="B49">
        <f t="shared" si="2"/>
        <v>1</v>
      </c>
      <c r="C49" t="s">
        <v>205</v>
      </c>
      <c r="E49" t="str">
        <f t="shared" si="0"/>
        <v/>
      </c>
      <c r="F49" t="str">
        <f t="shared" si="1"/>
        <v/>
      </c>
    </row>
    <row r="50" spans="2:6" x14ac:dyDescent="0.55000000000000004">
      <c r="B50">
        <f t="shared" si="2"/>
        <v>2</v>
      </c>
      <c r="C50">
        <v>25545.9854530183</v>
      </c>
      <c r="E50">
        <f t="shared" si="0"/>
        <v>25545.9854530183</v>
      </c>
      <c r="F50" t="str">
        <f t="shared" si="1"/>
        <v/>
      </c>
    </row>
    <row r="51" spans="2:6" x14ac:dyDescent="0.55000000000000004">
      <c r="B51">
        <f t="shared" si="2"/>
        <v>3</v>
      </c>
      <c r="C51">
        <v>3407.3276787792602</v>
      </c>
      <c r="E51" t="str">
        <f t="shared" si="0"/>
        <v/>
      </c>
      <c r="F51">
        <f t="shared" si="1"/>
        <v>3407.3276787792602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Case 1 Pareto</vt:lpstr>
      <vt:lpstr>Case 2 Pareto</vt:lpstr>
      <vt:lpstr>Case 3 Pareto</vt:lpstr>
      <vt:lpstr>Case 4 Pareto</vt:lpstr>
      <vt:lpstr>Case 5 Pareto</vt:lpstr>
      <vt:lpstr>Case 6 Pareto</vt:lpstr>
      <vt:lpstr>Case 7 Pareto</vt:lpstr>
      <vt:lpstr>Case 8 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Thill, Richard</dc:creator>
  <cp:lastModifiedBy>Thill, Richard</cp:lastModifiedBy>
  <dcterms:created xsi:type="dcterms:W3CDTF">2025-11-24T19:59:37Z</dcterms:created>
  <dcterms:modified xsi:type="dcterms:W3CDTF">2025-11-25T00:02:45Z</dcterms:modified>
</cp:coreProperties>
</file>